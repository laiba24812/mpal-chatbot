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iba\Downloads\MpalChatbot\"/>
    </mc:Choice>
  </mc:AlternateContent>
  <xr:revisionPtr revIDLastSave="0" documentId="13_ncr:1_{AA920866-A4AA-4833-A489-211976010284}" xr6:coauthVersionLast="47" xr6:coauthVersionMax="47" xr10:uidLastSave="{00000000-0000-0000-0000-000000000000}"/>
  <bookViews>
    <workbookView xWindow="2124" yWindow="2124" windowWidth="17280" windowHeight="9960" firstSheet="2" activeTab="2" xr2:uid="{7890F792-F204-419F-AF6C-1AED037AD1C5}"/>
  </bookViews>
  <sheets>
    <sheet name="ProjectCodes" sheetId="3" state="hidden" r:id="rId1"/>
    <sheet name="Instructions" sheetId="6" r:id="rId2"/>
    <sheet name="ProjectTracker" sheetId="1" r:id="rId3"/>
    <sheet name="Archive" sheetId="5" r:id="rId4"/>
    <sheet name="TemplateBlock" sheetId="4" state="hidden" r:id="rId5"/>
    <sheet name="OtherLists" sheetId="2" state="hidden" r:id="rId6"/>
  </sheets>
  <definedNames>
    <definedName name="_xleta.DATE" hidden="1" xlm="1">#NAME?</definedName>
    <definedName name="_xleta.T" hidden="1" xlm="1">#NAME?</definedName>
    <definedName name="ExternalData_1" localSheetId="0" hidden="1">ProjectCodes!$A$1:$A$393</definedName>
    <definedName name="Priority">List[Priority]</definedName>
    <definedName name="ProjectCodes">ProjectCodes!$A:$A</definedName>
    <definedName name="Status">List[Status]</definedName>
    <definedName name="Tasks">List[Tasks]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" l="1"/>
  <c r="L16" i="1"/>
  <c r="L17" i="1"/>
  <c r="L18" i="1"/>
  <c r="L20" i="1"/>
  <c r="L21" i="1"/>
  <c r="L22" i="1"/>
  <c r="L24" i="1"/>
  <c r="L25" i="1"/>
  <c r="L26" i="1"/>
  <c r="L27" i="1"/>
  <c r="L29" i="1"/>
  <c r="L30" i="1"/>
  <c r="L31" i="1"/>
  <c r="L32" i="1"/>
  <c r="L34" i="1"/>
  <c r="L36" i="1"/>
  <c r="L38" i="1"/>
  <c r="L40" i="1"/>
  <c r="L42" i="1"/>
  <c r="L44" i="1"/>
  <c r="L46" i="1"/>
  <c r="L47" i="1"/>
  <c r="L49" i="1"/>
  <c r="L50" i="1"/>
  <c r="L52" i="1"/>
  <c r="H51" i="1"/>
  <c r="J51" i="1" s="1"/>
  <c r="G51" i="1"/>
  <c r="L51" i="1" s="1"/>
  <c r="F51" i="1"/>
  <c r="B51" i="1"/>
  <c r="A51" i="1"/>
  <c r="K51" i="1"/>
  <c r="L13" i="1"/>
  <c r="H45" i="1" l="1"/>
  <c r="J45" i="1" s="1"/>
  <c r="G45" i="1"/>
  <c r="L45" i="1" s="1"/>
  <c r="F45" i="1"/>
  <c r="B45" i="1"/>
  <c r="A45" i="1"/>
  <c r="K45" i="1"/>
  <c r="H48" i="1"/>
  <c r="J48" i="1" s="1"/>
  <c r="G48" i="1"/>
  <c r="L48" i="1" s="1"/>
  <c r="F48" i="1"/>
  <c r="B48" i="1"/>
  <c r="A48" i="1"/>
  <c r="K48" i="1"/>
  <c r="H43" i="1"/>
  <c r="J43" i="1" s="1"/>
  <c r="G43" i="1"/>
  <c r="L43" i="1" s="1"/>
  <c r="F43" i="1"/>
  <c r="B43" i="1"/>
  <c r="A43" i="1"/>
  <c r="K43" i="1"/>
  <c r="H41" i="1"/>
  <c r="J41" i="1" s="1"/>
  <c r="G41" i="1"/>
  <c r="L41" i="1" s="1"/>
  <c r="F41" i="1"/>
  <c r="B41" i="1"/>
  <c r="A41" i="1"/>
  <c r="K41" i="1"/>
  <c r="H39" i="1"/>
  <c r="J39" i="1" s="1"/>
  <c r="G39" i="1"/>
  <c r="L39" i="1" s="1"/>
  <c r="F39" i="1"/>
  <c r="B39" i="1"/>
  <c r="A39" i="1"/>
  <c r="K39" i="1"/>
  <c r="H37" i="1"/>
  <c r="J37" i="1" s="1"/>
  <c r="G37" i="1"/>
  <c r="L37" i="1" s="1"/>
  <c r="F37" i="1"/>
  <c r="B37" i="1"/>
  <c r="A37" i="1"/>
  <c r="K37" i="1"/>
  <c r="H35" i="1"/>
  <c r="G35" i="1"/>
  <c r="L35" i="1" s="1"/>
  <c r="F35" i="1"/>
  <c r="B35" i="1"/>
  <c r="A35" i="1"/>
  <c r="H33" i="1" l="1"/>
  <c r="G33" i="1"/>
  <c r="L33" i="1" s="1"/>
  <c r="F33" i="1"/>
  <c r="B33" i="1"/>
  <c r="A33" i="1"/>
  <c r="H15" i="1"/>
  <c r="K33" i="1" l="1"/>
  <c r="J33" i="1" s="1"/>
  <c r="H23" i="1"/>
  <c r="G23" i="1"/>
  <c r="L23" i="1" s="1"/>
  <c r="F23" i="1"/>
  <c r="B23" i="1"/>
  <c r="A23" i="1"/>
  <c r="H28" i="1" l="1"/>
  <c r="G28" i="1"/>
  <c r="L28" i="1" s="1"/>
  <c r="F28" i="1"/>
  <c r="B28" i="1"/>
  <c r="A28" i="1"/>
  <c r="K12" i="1" l="1"/>
  <c r="G12" i="1"/>
  <c r="L12" i="1" s="1"/>
  <c r="F12" i="1"/>
  <c r="B12" i="1"/>
  <c r="A12" i="1"/>
  <c r="H14" i="1"/>
  <c r="G14" i="1"/>
  <c r="L14" i="1" s="1"/>
  <c r="F14" i="1"/>
  <c r="B14" i="1"/>
  <c r="A14" i="1"/>
  <c r="H19" i="1"/>
  <c r="G19" i="1"/>
  <c r="L19" i="1" s="1"/>
  <c r="F19" i="1"/>
  <c r="B19" i="1"/>
  <c r="A19" i="1"/>
  <c r="K19" i="1" l="1"/>
  <c r="J19" i="1" s="1"/>
  <c r="H12" i="1" l="1"/>
  <c r="J12" i="1" s="1"/>
  <c r="G1" i="4" l="1"/>
  <c r="I1" i="4" s="1"/>
  <c r="B1" i="4"/>
  <c r="A1" i="4"/>
  <c r="I7" i="4"/>
  <c r="I6" i="4"/>
  <c r="I5" i="4"/>
  <c r="I4" i="4"/>
  <c r="I3" i="4"/>
  <c r="I2" i="4"/>
  <c r="H1" i="4"/>
  <c r="F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3615C2-A5BA-411D-A043-E61E40DFC71D}" keepAlive="1" name="Query - Industry" description="Connection to the 'Industry' query in the workbook." type="5" refreshedVersion="8" background="1" saveData="1">
    <dbPr connection="Provider=Microsoft.Mashup.OleDb.1;Data Source=$Workbook$;Location=Industry;Extended Properties=&quot;&quot;" command="SELECT * FROM [Industry]"/>
  </connection>
</connections>
</file>

<file path=xl/sharedStrings.xml><?xml version="1.0" encoding="utf-8"?>
<sst xmlns="http://schemas.openxmlformats.org/spreadsheetml/2006/main" count="628" uniqueCount="503">
  <si>
    <t>Project Code</t>
  </si>
  <si>
    <t>HONDA30</t>
  </si>
  <si>
    <t>HONDA58</t>
  </si>
  <si>
    <t>vAMC1</t>
  </si>
  <si>
    <t>HONDA79</t>
  </si>
  <si>
    <t>ENEDYM1</t>
  </si>
  <si>
    <t>HONDA75</t>
  </si>
  <si>
    <t>HONDA76</t>
  </si>
  <si>
    <t>HONDA86</t>
  </si>
  <si>
    <t>HONDA53</t>
  </si>
  <si>
    <t>HONDA89</t>
  </si>
  <si>
    <t>vRSC11</t>
  </si>
  <si>
    <t>vRSC12</t>
  </si>
  <si>
    <t>vRSC13</t>
  </si>
  <si>
    <t>HONDA98</t>
  </si>
  <si>
    <t>HONDA78</t>
  </si>
  <si>
    <t>LONGAN2</t>
  </si>
  <si>
    <t>HONDA103</t>
  </si>
  <si>
    <t>ALCHEMY5</t>
  </si>
  <si>
    <t>HONDACBM1</t>
  </si>
  <si>
    <t>QUICKMILL2</t>
  </si>
  <si>
    <t>COLLINS1</t>
  </si>
  <si>
    <t>HONDA130</t>
  </si>
  <si>
    <t>AXYZ3</t>
  </si>
  <si>
    <t>MEVOTECH5</t>
  </si>
  <si>
    <t>GASTRO2</t>
  </si>
  <si>
    <t>HONDACBM6</t>
  </si>
  <si>
    <t>HONDA119</t>
  </si>
  <si>
    <t>RACER2</t>
  </si>
  <si>
    <t>TUPY1</t>
  </si>
  <si>
    <t>SMARTCN1</t>
  </si>
  <si>
    <t>OLIGO3</t>
  </si>
  <si>
    <t>MHI1</t>
  </si>
  <si>
    <t>HONDA122</t>
  </si>
  <si>
    <t>HONDA123</t>
  </si>
  <si>
    <t>ABERGER3</t>
  </si>
  <si>
    <t>TERAGO1</t>
  </si>
  <si>
    <t>BOMBARD1</t>
  </si>
  <si>
    <t>DHC1</t>
  </si>
  <si>
    <t>LOCKE1</t>
  </si>
  <si>
    <t>MSM5</t>
  </si>
  <si>
    <t>KENNAMETAL6</t>
  </si>
  <si>
    <t>KENNAMETAL5</t>
  </si>
  <si>
    <t>ENEDYM2</t>
  </si>
  <si>
    <t>MEVOTECH2</t>
  </si>
  <si>
    <t>HONDACBM2</t>
  </si>
  <si>
    <t>SECOND1</t>
  </si>
  <si>
    <t>AMSTED1</t>
  </si>
  <si>
    <t>HONDA127</t>
  </si>
  <si>
    <t>Biogas1</t>
  </si>
  <si>
    <t>HPG1</t>
  </si>
  <si>
    <t>ALTTEX1</t>
  </si>
  <si>
    <t>PALL2</t>
  </si>
  <si>
    <t>HONDA132</t>
  </si>
  <si>
    <t>vRSC14</t>
  </si>
  <si>
    <t>HONDA133</t>
  </si>
  <si>
    <t>HONDACBM8</t>
  </si>
  <si>
    <t>HONDA134</t>
  </si>
  <si>
    <t>GASTRO5</t>
  </si>
  <si>
    <t>RD1</t>
  </si>
  <si>
    <t>GERDAU3</t>
  </si>
  <si>
    <t>GERDAU2</t>
  </si>
  <si>
    <t>HRLMP1</t>
  </si>
  <si>
    <t>ESI2</t>
  </si>
  <si>
    <t>HONDA135</t>
  </si>
  <si>
    <t>VRSC15</t>
  </si>
  <si>
    <t>RES2</t>
  </si>
  <si>
    <t>HONDA136</t>
  </si>
  <si>
    <t>PRATTW1</t>
  </si>
  <si>
    <t>UMI2</t>
  </si>
  <si>
    <t>Voltai2</t>
  </si>
  <si>
    <t>KINECTRICS1</t>
  </si>
  <si>
    <t>Honda137</t>
  </si>
  <si>
    <t>VITA1</t>
  </si>
  <si>
    <t>VESSL1</t>
  </si>
  <si>
    <t>HONDA131</t>
  </si>
  <si>
    <t>BASTRA1</t>
  </si>
  <si>
    <t>NMT1</t>
  </si>
  <si>
    <t>ARAYMOND8</t>
  </si>
  <si>
    <t>Rotsaert1</t>
  </si>
  <si>
    <t>ABL1</t>
  </si>
  <si>
    <t>CYBER1</t>
  </si>
  <si>
    <t>ALK1</t>
  </si>
  <si>
    <t>CUBIC1</t>
  </si>
  <si>
    <t>ALK2</t>
  </si>
  <si>
    <t>GASTRO7</t>
  </si>
  <si>
    <t>HONDA138</t>
  </si>
  <si>
    <t>COFFEE1</t>
  </si>
  <si>
    <t>ARAYMOND9</t>
  </si>
  <si>
    <t>LINAMAR1</t>
  </si>
  <si>
    <t>RACER1</t>
  </si>
  <si>
    <t>Gerdau</t>
  </si>
  <si>
    <t>HONDA139</t>
  </si>
  <si>
    <t>HONDA140</t>
  </si>
  <si>
    <t>HONDA141</t>
  </si>
  <si>
    <t>HONDA142</t>
  </si>
  <si>
    <t>BIT2</t>
  </si>
  <si>
    <t>CUMMINS1</t>
  </si>
  <si>
    <t>HONDA143</t>
  </si>
  <si>
    <t>ENEDYM3</t>
  </si>
  <si>
    <t>HONDA144</t>
  </si>
  <si>
    <t>HONDA145</t>
  </si>
  <si>
    <t>HONDA146</t>
  </si>
  <si>
    <t>SECOND2</t>
  </si>
  <si>
    <t>IMAGIN4</t>
  </si>
  <si>
    <t>WESSUC1</t>
  </si>
  <si>
    <t>HONDACBM11</t>
  </si>
  <si>
    <t>RIAN1</t>
  </si>
  <si>
    <t>RIAN2</t>
  </si>
  <si>
    <t>IMAGIN5</t>
  </si>
  <si>
    <t>HONDA148</t>
  </si>
  <si>
    <t>HONDA149</t>
  </si>
  <si>
    <t>HONDA150</t>
  </si>
  <si>
    <t>YORKE1</t>
  </si>
  <si>
    <t>CUMMINS2</t>
  </si>
  <si>
    <t>PRECISION1</t>
  </si>
  <si>
    <t>PRECISION2</t>
  </si>
  <si>
    <t>ENEDYM4</t>
  </si>
  <si>
    <t>CUMMINS3</t>
  </si>
  <si>
    <t>MEVOTECH8</t>
  </si>
  <si>
    <t>HONDA151</t>
  </si>
  <si>
    <t>MMRICBM0</t>
  </si>
  <si>
    <t>MMRICBM1</t>
  </si>
  <si>
    <t>MMRICBM2</t>
  </si>
  <si>
    <t>MMRICBM3</t>
  </si>
  <si>
    <t>MMRIELIM1</t>
  </si>
  <si>
    <t>HONDACBM9</t>
  </si>
  <si>
    <t>HONDACBM10</t>
  </si>
  <si>
    <t>BIT0</t>
  </si>
  <si>
    <t>HONDA152</t>
  </si>
  <si>
    <t>HONDA153</t>
  </si>
  <si>
    <t>HONDA154</t>
  </si>
  <si>
    <t>HONDA155</t>
  </si>
  <si>
    <t>LOOP1</t>
  </si>
  <si>
    <t>WESTING2</t>
  </si>
  <si>
    <t>HONDA156</t>
  </si>
  <si>
    <t>HONDA157</t>
  </si>
  <si>
    <t>HONDA158</t>
  </si>
  <si>
    <t>HONDA159</t>
  </si>
  <si>
    <t>ARC2</t>
  </si>
  <si>
    <t>HONDA160</t>
  </si>
  <si>
    <t>HONDA161</t>
  </si>
  <si>
    <t>WESTING3</t>
  </si>
  <si>
    <t>HONDA162</t>
  </si>
  <si>
    <t>SOLARCAR1</t>
  </si>
  <si>
    <t>STAINERRACK1</t>
  </si>
  <si>
    <t>HPG2</t>
  </si>
  <si>
    <t>MAGNA5</t>
  </si>
  <si>
    <t>TYCOS1</t>
  </si>
  <si>
    <t>SNACK1</t>
  </si>
  <si>
    <t>HONDA163</t>
  </si>
  <si>
    <t>HONDA164</t>
  </si>
  <si>
    <t>MEVOTECH9</t>
  </si>
  <si>
    <t>HONDA165</t>
  </si>
  <si>
    <t>HONDA166</t>
  </si>
  <si>
    <t>THK1</t>
  </si>
  <si>
    <t>UTC1</t>
  </si>
  <si>
    <t>ABERGER4</t>
  </si>
  <si>
    <t>ROLLSROYCE1</t>
  </si>
  <si>
    <t>HONDA167</t>
  </si>
  <si>
    <t>HONDA168</t>
  </si>
  <si>
    <t>HONDA169</t>
  </si>
  <si>
    <t>HONDA170</t>
  </si>
  <si>
    <t>MARCM1</t>
  </si>
  <si>
    <t>HONDA171</t>
  </si>
  <si>
    <t>GASTRO8</t>
  </si>
  <si>
    <t>CHEEL1</t>
  </si>
  <si>
    <t>TYCOS2</t>
  </si>
  <si>
    <t>BLG1</t>
  </si>
  <si>
    <t>HONDA172</t>
  </si>
  <si>
    <t>TORCH2</t>
  </si>
  <si>
    <t>TYCOS3</t>
  </si>
  <si>
    <t>FORMULA1</t>
  </si>
  <si>
    <t>MDA1</t>
  </si>
  <si>
    <t>SKATE8</t>
  </si>
  <si>
    <t>GASTRO9</t>
  </si>
  <si>
    <t>IMAGIN6</t>
  </si>
  <si>
    <t>HONDA173</t>
  </si>
  <si>
    <t>THK2</t>
  </si>
  <si>
    <t>STIRCHEM1</t>
  </si>
  <si>
    <t>iMIRGE1</t>
  </si>
  <si>
    <t>HONDA174</t>
  </si>
  <si>
    <t>HONDA175</t>
  </si>
  <si>
    <t>MARCM2</t>
  </si>
  <si>
    <t>MARCM3</t>
  </si>
  <si>
    <t>BWXT1</t>
  </si>
  <si>
    <t>THK3</t>
  </si>
  <si>
    <t>MARCM4</t>
  </si>
  <si>
    <t>HONDA176</t>
  </si>
  <si>
    <t>HONDA177</t>
  </si>
  <si>
    <t>ELAREX1</t>
  </si>
  <si>
    <t>HHSC1</t>
  </si>
  <si>
    <t>VIBRAINT1</t>
  </si>
  <si>
    <t>DANA3</t>
  </si>
  <si>
    <t>TYCOS4</t>
  </si>
  <si>
    <t>AVANTI1</t>
  </si>
  <si>
    <t>BILGIN2</t>
  </si>
  <si>
    <t>SKATE9</t>
  </si>
  <si>
    <t>COLFORGE1</t>
  </si>
  <si>
    <t>CCEM1</t>
  </si>
  <si>
    <t>SHANKAR1</t>
  </si>
  <si>
    <t>MACNUCLR1</t>
  </si>
  <si>
    <t>CNL1</t>
  </si>
  <si>
    <t>GERDAU4</t>
  </si>
  <si>
    <t>ENEDYM5</t>
  </si>
  <si>
    <t>HPSEC1</t>
  </si>
  <si>
    <t>NIXON1</t>
  </si>
  <si>
    <t>NIXON2</t>
  </si>
  <si>
    <t>ELAREX2</t>
  </si>
  <si>
    <t>HONEYWELLC1</t>
  </si>
  <si>
    <t>MAGELLAN1</t>
  </si>
  <si>
    <t>KISH1</t>
  </si>
  <si>
    <t>QUICKMILL3</t>
  </si>
  <si>
    <t>NEMU1</t>
  </si>
  <si>
    <t>ORLICK1</t>
  </si>
  <si>
    <t>MARCM5</t>
  </si>
  <si>
    <t>MARCM6</t>
  </si>
  <si>
    <t>SOLARCAR2</t>
  </si>
  <si>
    <t>BWXT2</t>
  </si>
  <si>
    <t>LONGAN3</t>
  </si>
  <si>
    <t>PRESSLOCK2</t>
  </si>
  <si>
    <t>KISH2</t>
  </si>
  <si>
    <t>SOLARCAR3</t>
  </si>
  <si>
    <t>MARCM7</t>
  </si>
  <si>
    <t>ENEDYM6</t>
  </si>
  <si>
    <t>THK4</t>
  </si>
  <si>
    <t>ENEDYM7</t>
  </si>
  <si>
    <t>SKATE10</t>
  </si>
  <si>
    <t>OVIN1</t>
  </si>
  <si>
    <t>CCEM2</t>
  </si>
  <si>
    <t>MCLAREN1</t>
  </si>
  <si>
    <t>TYCOS5</t>
  </si>
  <si>
    <t>TYCOS6</t>
  </si>
  <si>
    <t>TYCOS7</t>
  </si>
  <si>
    <t>TYCOS8</t>
  </si>
  <si>
    <t>TYCOS9</t>
  </si>
  <si>
    <t>TORCH3</t>
  </si>
  <si>
    <t>EATON2</t>
  </si>
  <si>
    <t>EATON3</t>
  </si>
  <si>
    <t>EATON4</t>
  </si>
  <si>
    <t>RUBINET1</t>
  </si>
  <si>
    <t>WIELAND1</t>
  </si>
  <si>
    <t>HATCH1</t>
  </si>
  <si>
    <t>CCEM3</t>
  </si>
  <si>
    <t>GM1</t>
  </si>
  <si>
    <t>ATTITUDE1</t>
  </si>
  <si>
    <t>COATER1</t>
  </si>
  <si>
    <t>ORF0</t>
  </si>
  <si>
    <t>ORF1</t>
  </si>
  <si>
    <t>ORF2</t>
  </si>
  <si>
    <t>ORF3</t>
  </si>
  <si>
    <t>INTEGRAL2</t>
  </si>
  <si>
    <t>RAIN1</t>
  </si>
  <si>
    <t>ENEDYM8</t>
  </si>
  <si>
    <t>MARCM8</t>
  </si>
  <si>
    <t>AIRJET1</t>
  </si>
  <si>
    <t>SPLASHGUARD1</t>
  </si>
  <si>
    <t>TYCOS10</t>
  </si>
  <si>
    <t>SKATE11</t>
  </si>
  <si>
    <t>HARVEST1</t>
  </si>
  <si>
    <t>DEFIB1</t>
  </si>
  <si>
    <t>MARCM9</t>
  </si>
  <si>
    <t>MARCM10</t>
  </si>
  <si>
    <t>WESSUC2</t>
  </si>
  <si>
    <t>MEVOTECH 10</t>
  </si>
  <si>
    <t>ENEDYM9</t>
  </si>
  <si>
    <t>POP1</t>
  </si>
  <si>
    <t>JE1</t>
  </si>
  <si>
    <t>DUNEDIN1</t>
  </si>
  <si>
    <t>ALCHEMY6</t>
  </si>
  <si>
    <t>QIYIN1</t>
  </si>
  <si>
    <t>NRC3</t>
  </si>
  <si>
    <t>BILGIN3</t>
  </si>
  <si>
    <t>McLaren2</t>
  </si>
  <si>
    <t>Mevotech11</t>
  </si>
  <si>
    <t>DAY1</t>
  </si>
  <si>
    <t>AVANTI2</t>
  </si>
  <si>
    <t>TREXO1</t>
  </si>
  <si>
    <t>TYCOS11</t>
  </si>
  <si>
    <t>TYCOS12</t>
  </si>
  <si>
    <t>Mevotech 12</t>
  </si>
  <si>
    <t>SNOW0</t>
  </si>
  <si>
    <t>Mevotech13</t>
  </si>
  <si>
    <t>FORMULA2</t>
  </si>
  <si>
    <t>BILGIN4</t>
  </si>
  <si>
    <t>THK5</t>
  </si>
  <si>
    <t>ARCHE1</t>
  </si>
  <si>
    <t>MARS1</t>
  </si>
  <si>
    <t>BILGIN5</t>
  </si>
  <si>
    <t>MEVOTECH14</t>
  </si>
  <si>
    <t>Mevotech15</t>
  </si>
  <si>
    <t>VESSL2</t>
  </si>
  <si>
    <t>SPUTTEK1</t>
  </si>
  <si>
    <t>MASOUMI1</t>
  </si>
  <si>
    <t>MARCM11</t>
  </si>
  <si>
    <t>Mevotech16</t>
  </si>
  <si>
    <t>McLaren3</t>
  </si>
  <si>
    <t>REV1</t>
  </si>
  <si>
    <t>CUMMINS4</t>
  </si>
  <si>
    <t>MARCM12</t>
  </si>
  <si>
    <t>NGEN1</t>
  </si>
  <si>
    <t>Cummins5</t>
  </si>
  <si>
    <t>Cummins6</t>
  </si>
  <si>
    <t>TYCOS13</t>
  </si>
  <si>
    <t>Cummins7</t>
  </si>
  <si>
    <t>TYCOS14</t>
  </si>
  <si>
    <t>TYCOS15</t>
  </si>
  <si>
    <t>TRAIN1</t>
  </si>
  <si>
    <t>TRAIN2</t>
  </si>
  <si>
    <t>TRAIN3</t>
  </si>
  <si>
    <t>TRAIN4</t>
  </si>
  <si>
    <t>TRAIN5</t>
  </si>
  <si>
    <t>TRAIN6</t>
  </si>
  <si>
    <t>TRAIN7</t>
  </si>
  <si>
    <t>TRAIN8</t>
  </si>
  <si>
    <t>TRAIN9</t>
  </si>
  <si>
    <t>TRAIN10</t>
  </si>
  <si>
    <t>TRAIN11</t>
  </si>
  <si>
    <t>TRAIN12</t>
  </si>
  <si>
    <t>HUSKY2</t>
  </si>
  <si>
    <t>FACTR1</t>
  </si>
  <si>
    <t>POP2</t>
  </si>
  <si>
    <t>YORKU1</t>
  </si>
  <si>
    <t>EECO1</t>
  </si>
  <si>
    <t>STITCH1</t>
  </si>
  <si>
    <t>RCI1</t>
  </si>
  <si>
    <t>ENGAGE1</t>
  </si>
  <si>
    <t>AMD1</t>
  </si>
  <si>
    <t>CAMC1</t>
  </si>
  <si>
    <t>ALFREDO1</t>
  </si>
  <si>
    <t>EXHILAR1</t>
  </si>
  <si>
    <t>MAGELLAN2</t>
  </si>
  <si>
    <t>NADA1</t>
  </si>
  <si>
    <t>SINTHEA1</t>
  </si>
  <si>
    <t>VISFUT1</t>
  </si>
  <si>
    <t>CANRIMT3</t>
  </si>
  <si>
    <t>INGERSO1</t>
  </si>
  <si>
    <t>APOGEE1</t>
  </si>
  <si>
    <t>AUTO1</t>
  </si>
  <si>
    <t>THK6</t>
  </si>
  <si>
    <t>CCEM-FFS</t>
  </si>
  <si>
    <t>HUSKY3</t>
  </si>
  <si>
    <t>MARCM13</t>
  </si>
  <si>
    <t>JSQ1</t>
  </si>
  <si>
    <t>ELBESTAWI1</t>
  </si>
  <si>
    <t>MRN1</t>
  </si>
  <si>
    <t>MONO1</t>
  </si>
  <si>
    <t>TRIN1</t>
  </si>
  <si>
    <t>BILGIN-FFS</t>
  </si>
  <si>
    <t>IMIRGE2</t>
  </si>
  <si>
    <t>TERAGO2</t>
  </si>
  <si>
    <t>MOLD1</t>
  </si>
  <si>
    <t>MOSAIC1</t>
  </si>
  <si>
    <t>MERC1</t>
  </si>
  <si>
    <t>IMAGIN7</t>
  </si>
  <si>
    <t>GOSCO1</t>
  </si>
  <si>
    <t>FIBER1</t>
  </si>
  <si>
    <t>AVIR1</t>
  </si>
  <si>
    <t>IMP1</t>
  </si>
  <si>
    <t>HONDA178</t>
  </si>
  <si>
    <t>MARCM14</t>
  </si>
  <si>
    <t>INCORPAI1</t>
  </si>
  <si>
    <t>ENGCOMM1</t>
  </si>
  <si>
    <t>OPTIM1</t>
  </si>
  <si>
    <t>CAFE1</t>
  </si>
  <si>
    <t>HYIVY1</t>
  </si>
  <si>
    <t>NOVA1</t>
  </si>
  <si>
    <t>LIMP1</t>
  </si>
  <si>
    <t>SIGNA1</t>
  </si>
  <si>
    <t>SORSYS1</t>
  </si>
  <si>
    <t>TYCOS16</t>
  </si>
  <si>
    <t>TYCOS17</t>
  </si>
  <si>
    <t>STOCK1</t>
  </si>
  <si>
    <t>HARVEST2</t>
  </si>
  <si>
    <t>BAUER1</t>
  </si>
  <si>
    <t>MEVOTECH17</t>
  </si>
  <si>
    <t>TYCOS18</t>
  </si>
  <si>
    <t>TYCO19</t>
  </si>
  <si>
    <t>TYCOS20</t>
  </si>
  <si>
    <t>EVOLVE1</t>
  </si>
  <si>
    <t>CAMB1</t>
  </si>
  <si>
    <t>YARL1</t>
  </si>
  <si>
    <t>MCS1</t>
  </si>
  <si>
    <t>AVANTI3</t>
  </si>
  <si>
    <t>THORNTON1</t>
  </si>
  <si>
    <t>TYCOS21</t>
  </si>
  <si>
    <t>TRIPLE1</t>
  </si>
  <si>
    <t>WGPRO1</t>
  </si>
  <si>
    <t>KWOOD1</t>
  </si>
  <si>
    <t>EXO1</t>
  </si>
  <si>
    <t>INTER1</t>
  </si>
  <si>
    <t>Category</t>
  </si>
  <si>
    <t>Input</t>
  </si>
  <si>
    <t>Column1</t>
  </si>
  <si>
    <t>Project Tracker</t>
  </si>
  <si>
    <t>Name</t>
  </si>
  <si>
    <t>Kristin Bennett</t>
  </si>
  <si>
    <t>Manager</t>
  </si>
  <si>
    <t>Steve Remilli</t>
  </si>
  <si>
    <t>Hours per week</t>
  </si>
  <si>
    <t>Current Date</t>
  </si>
  <si>
    <t>Last Reviewed</t>
  </si>
  <si>
    <t>Tracker Start Date</t>
  </si>
  <si>
    <t>Week #</t>
  </si>
  <si>
    <t>Employee hours per week</t>
  </si>
  <si>
    <t>Task</t>
  </si>
  <si>
    <t>Additional Notes</t>
  </si>
  <si>
    <t>Start Date</t>
  </si>
  <si>
    <t>End Date</t>
  </si>
  <si>
    <t>Estimated Hours</t>
  </si>
  <si>
    <t>Status</t>
  </si>
  <si>
    <t>% Complete</t>
  </si>
  <si>
    <t>Hours Complete</t>
  </si>
  <si>
    <t>In Progress</t>
  </si>
  <si>
    <t>Project management</t>
  </si>
  <si>
    <t>MBA co-op planning/supervision</t>
  </si>
  <si>
    <t>TRON capstone team supervision</t>
  </si>
  <si>
    <t>SKATE11 condition monitoring system</t>
  </si>
  <si>
    <t>Complete</t>
  </si>
  <si>
    <t>Gearbox testbed data collection</t>
  </si>
  <si>
    <t>Gearbox testbed analysis &amp; report</t>
  </si>
  <si>
    <t>Future Work</t>
  </si>
  <si>
    <t>Honda production data analysis</t>
  </si>
  <si>
    <t>Design</t>
  </si>
  <si>
    <t>Fabrication</t>
  </si>
  <si>
    <t>Meetings</t>
  </si>
  <si>
    <t>Testing</t>
  </si>
  <si>
    <t>Data collection</t>
  </si>
  <si>
    <t>Data analysis</t>
  </si>
  <si>
    <t>Reporting</t>
  </si>
  <si>
    <t>Select Status</t>
  </si>
  <si>
    <t xml:space="preserve">Kickoff meeting scheduled </t>
  </si>
  <si>
    <t>Add Estimated Hours</t>
  </si>
  <si>
    <t>Site visit completed April 13th, scope of work to be developed.</t>
  </si>
  <si>
    <t>Select Project</t>
  </si>
  <si>
    <t>Input Task</t>
  </si>
  <si>
    <t>PPP</t>
  </si>
  <si>
    <t>High</t>
  </si>
  <si>
    <t>Initial Testing</t>
  </si>
  <si>
    <t>Delay</t>
  </si>
  <si>
    <t>Site Visit / Demo</t>
  </si>
  <si>
    <t>Medium</t>
  </si>
  <si>
    <t>Fabrication/Assembly</t>
  </si>
  <si>
    <t>Final Testing</t>
  </si>
  <si>
    <t>List Page</t>
  </si>
  <si>
    <t>Tasks</t>
  </si>
  <si>
    <t>Priority</t>
  </si>
  <si>
    <t>Machine Experiment</t>
  </si>
  <si>
    <t>Low</t>
  </si>
  <si>
    <t>n/a</t>
  </si>
  <si>
    <t>Machining</t>
  </si>
  <si>
    <t>MMRI Event</t>
  </si>
  <si>
    <t>Machine Maintenance</t>
  </si>
  <si>
    <t>Risk/Blocker Notes</t>
  </si>
  <si>
    <t>MMRI Project Tracker - User Guide</t>
  </si>
  <si>
    <t>Getting Started</t>
  </si>
  <si>
    <t>1. Fill in your Name, Manager, and Hours per week at the top of the ProjectTracker sheet</t>
  </si>
  <si>
    <t>2. Update the Last Reviewed date every time you make changes</t>
  </si>
  <si>
    <t>3. Use the buttons on the left to manage your projects and tasks</t>
  </si>
  <si>
    <t>Buttons</t>
  </si>
  <si>
    <t>Add Project - Adds a new project header row and one blank task row</t>
  </si>
  <si>
    <t>Add Task - Adds a new task row below the currently selected cell</t>
  </si>
  <si>
    <t>Delete Row - Deletes the currently selected row</t>
  </si>
  <si>
    <t>Hide Complete - Hides all rows marked as Complete</t>
  </si>
  <si>
    <t>Show All - Restores all hidden rows</t>
  </si>
  <si>
    <t>Archive Complete - Moves all Complete projects to the Archive tab</t>
  </si>
  <si>
    <t>Restore from Archive - Brings archived projects back to the main tracker</t>
  </si>
  <si>
    <t>Columns</t>
  </si>
  <si>
    <t>Project Code - Select from dropdown. If your project isn't listed click Data --&gt; Refresh All</t>
  </si>
  <si>
    <t>Task - Describe the specific task for this project</t>
  </si>
  <si>
    <t>Additional Notes - Any extra context or notes for this task</t>
  </si>
  <si>
    <t>Start Date - When this task starts</t>
  </si>
  <si>
    <t>End Date - When this task is due</t>
  </si>
  <si>
    <t>Estimated Hours - How many hours you expect this task to take</t>
  </si>
  <si>
    <t>Status - Select from In Progress, Future Work, or Complete</t>
  </si>
  <si>
    <t>% Complete - For tasks enter manually. For projects this is calculated automatically</t>
  </si>
  <si>
    <t>Hours Complete - How many hours you have actually spent on this task</t>
  </si>
  <si>
    <t>Priority - Select High, Medium or Low to indicate urgency</t>
  </si>
  <si>
    <t>Risk/Blocker Notes - Describe any issues or blockers affecting this project</t>
  </si>
  <si>
    <t>Tips</t>
  </si>
  <si>
    <t>*Always update Last Reviewed when making changes so management knows the data is current</t>
  </si>
  <si>
    <t>*Use Archive Complete regularly to keep the tracker clean and focused on active work</t>
  </si>
  <si>
    <t>*If a project code is missing from the dropdown click Data --&gt; Refresh All or contact mmri-ad@mcmaster.ca</t>
  </si>
  <si>
    <t>*Set Priority to High for any project with an upcoming deadline or critical deliverable</t>
  </si>
  <si>
    <t>*Use Risk/Blocker Notes to flag any issues so management is aware</t>
  </si>
  <si>
    <t>Days Remaining</t>
  </si>
  <si>
    <t>Select Priority</t>
  </si>
  <si>
    <t>Add Risk/Blocker Notes</t>
  </si>
  <si>
    <t>Days Remaining - Automatically calculates how many days are left until the end date. Shows "Done" if Complete , 0 if overdue. Colour coded - green means plenty of time, orange means due within 2 weeks, red means overdue</t>
  </si>
  <si>
    <t>*Rows highlighted in red mean the project is In Progress but past its end date - update the end date or mark tasks as Complete</t>
  </si>
  <si>
    <t>*Days Remaining updates automatically every day so you always know what's coming up</t>
  </si>
  <si>
    <t>Colour Coding Guide</t>
  </si>
  <si>
    <t>Priority Column:</t>
  </si>
  <si>
    <t>*Red = High Priority</t>
  </si>
  <si>
    <t>*Orange = Medium Priority</t>
  </si>
  <si>
    <t>*Green = Low Priority</t>
  </si>
  <si>
    <t>Days Remaining Column:</t>
  </si>
  <si>
    <t>*Green = More than 14 days</t>
  </si>
  <si>
    <t>*Orange = Less than 14 days remaining</t>
  </si>
  <si>
    <t>*Red = Overdue (0 days remaining)</t>
  </si>
  <si>
    <t>IDK404</t>
  </si>
  <si>
    <t>Circuitry and soldering</t>
  </si>
  <si>
    <t>15/06/2026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</si>
</sst>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09]d/mmm/yy;@"/>
    <numFmt numFmtId="165" formatCode="0.0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8"/>
      <color rgb="FF7A003C"/>
      <name val="Aptos Narrow"/>
      <family val="2"/>
      <scheme val="minor"/>
    </font>
    <font>
      <sz val="12"/>
      <color rgb="FF7A003C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C000"/>
      <name val="Aptos Narrow"/>
      <family val="2"/>
      <scheme val="minor"/>
    </font>
    <font>
      <sz val="12"/>
      <color rgb="FF00B050"/>
      <name val="Aptos Narrow"/>
      <family val="2"/>
      <scheme val="minor"/>
    </font>
    <font>
      <b/>
      <u/>
      <sz val="14"/>
      <color rgb="FF7A003C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EF1A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94">
    <xf numFmtId="0" fontId="0" fillId="0" borderId="0" xfId="0"/>
    <xf numFmtId="0" fontId="0" fillId="2" borderId="0" xfId="0" applyFill="1"/>
    <xf numFmtId="0" fontId="0" fillId="4" borderId="0" xfId="0" applyFill="1"/>
    <xf numFmtId="0" fontId="6" fillId="4" borderId="0" xfId="0" applyFont="1" applyFill="1"/>
    <xf numFmtId="0" fontId="7" fillId="4" borderId="0" xfId="0" applyFont="1" applyFill="1" applyAlignment="1">
      <alignment horizontal="center"/>
    </xf>
    <xf numFmtId="0" fontId="7" fillId="4" borderId="0" xfId="0" applyFont="1" applyFill="1"/>
    <xf numFmtId="0" fontId="4" fillId="0" borderId="0" xfId="0" applyFont="1"/>
    <xf numFmtId="0" fontId="0" fillId="3" borderId="1" xfId="0" applyFill="1" applyBorder="1"/>
    <xf numFmtId="0" fontId="0" fillId="6" borderId="0" xfId="0" applyFill="1"/>
    <xf numFmtId="0" fontId="2" fillId="3" borderId="0" xfId="0" applyFont="1" applyFill="1" applyAlignment="1">
      <alignment horizontal="left" vertical="center"/>
    </xf>
    <xf numFmtId="164" fontId="0" fillId="0" borderId="0" xfId="0" applyNumberFormat="1" applyAlignment="1">
      <alignment horizontal="center"/>
    </xf>
    <xf numFmtId="164" fontId="1" fillId="6" borderId="0" xfId="0" applyNumberFormat="1" applyFont="1" applyFill="1" applyAlignment="1">
      <alignment horizontal="center"/>
    </xf>
    <xf numFmtId="0" fontId="1" fillId="6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3" borderId="1" xfId="0" applyFont="1" applyFill="1" applyBorder="1"/>
    <xf numFmtId="0" fontId="1" fillId="0" borderId="0" xfId="0" applyFont="1"/>
    <xf numFmtId="165" fontId="0" fillId="2" borderId="0" xfId="0" applyNumberFormat="1" applyFill="1"/>
    <xf numFmtId="165" fontId="0" fillId="0" borderId="1" xfId="0" applyNumberFormat="1" applyBorder="1"/>
    <xf numFmtId="165" fontId="6" fillId="4" borderId="0" xfId="0" applyNumberFormat="1" applyFont="1" applyFill="1"/>
    <xf numFmtId="165" fontId="0" fillId="0" borderId="0" xfId="0" applyNumberFormat="1"/>
    <xf numFmtId="165" fontId="0" fillId="0" borderId="0" xfId="0" applyNumberFormat="1" applyAlignment="1">
      <alignment horizontal="left" vertical="center"/>
    </xf>
    <xf numFmtId="9" fontId="1" fillId="6" borderId="0" xfId="1" applyFont="1" applyFill="1" applyBorder="1" applyAlignment="1">
      <alignment horizontal="left"/>
    </xf>
    <xf numFmtId="0" fontId="5" fillId="4" borderId="0" xfId="0" applyFont="1" applyFill="1" applyAlignment="1">
      <alignment horizontal="center"/>
    </xf>
    <xf numFmtId="0" fontId="0" fillId="0" borderId="2" xfId="0" applyBorder="1"/>
    <xf numFmtId="0" fontId="6" fillId="0" borderId="1" xfId="0" applyFont="1" applyBorder="1"/>
    <xf numFmtId="0" fontId="10" fillId="2" borderId="0" xfId="0" applyFont="1" applyFill="1" applyAlignment="1">
      <alignment horizontal="center"/>
    </xf>
    <xf numFmtId="0" fontId="0" fillId="2" borderId="0" xfId="0" applyFill="1" applyAlignment="1">
      <alignment wrapText="1"/>
    </xf>
    <xf numFmtId="165" fontId="0" fillId="0" borderId="0" xfId="0" applyNumberFormat="1" applyAlignment="1">
      <alignment horizontal="left" vertical="center" wrapText="1"/>
    </xf>
    <xf numFmtId="165" fontId="0" fillId="0" borderId="1" xfId="0" applyNumberFormat="1" applyBorder="1" applyAlignment="1">
      <alignment wrapText="1"/>
    </xf>
    <xf numFmtId="0" fontId="6" fillId="4" borderId="0" xfId="0" applyFont="1" applyFill="1" applyAlignment="1">
      <alignment wrapText="1"/>
    </xf>
    <xf numFmtId="0" fontId="5" fillId="3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3" borderId="0" xfId="0" applyFill="1" applyAlignment="1">
      <alignment horizontal="left" vertical="center"/>
    </xf>
    <xf numFmtId="14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11" fillId="0" borderId="0" xfId="0" applyFont="1"/>
    <xf numFmtId="0" fontId="2" fillId="3" borderId="0" xfId="0" applyFont="1" applyFill="1" applyAlignment="1">
      <alignment horizontal="left" vertical="center" wrapText="1"/>
    </xf>
    <xf numFmtId="0" fontId="0" fillId="3" borderId="1" xfId="0" applyFill="1" applyBorder="1" applyAlignment="1">
      <alignment wrapText="1"/>
    </xf>
    <xf numFmtId="0" fontId="10" fillId="2" borderId="0" xfId="0" applyFont="1" applyFill="1" applyAlignment="1">
      <alignment wrapText="1"/>
    </xf>
    <xf numFmtId="0" fontId="1" fillId="7" borderId="0" xfId="0" applyFont="1" applyFill="1" applyAlignment="1">
      <alignment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0" fontId="3" fillId="5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 wrapText="1"/>
    </xf>
    <xf numFmtId="0" fontId="1" fillId="4" borderId="4" xfId="0" applyFont="1" applyFill="1" applyBorder="1"/>
    <xf numFmtId="0" fontId="0" fillId="4" borderId="4" xfId="0" applyFill="1" applyBorder="1" applyAlignment="1">
      <alignment wrapText="1"/>
    </xf>
    <xf numFmtId="0" fontId="0" fillId="4" borderId="4" xfId="0" applyFill="1" applyBorder="1"/>
    <xf numFmtId="0" fontId="0" fillId="4" borderId="4" xfId="0" applyFill="1" applyBorder="1" applyAlignment="1">
      <alignment horizontal="center" wrapText="1"/>
    </xf>
    <xf numFmtId="0" fontId="1" fillId="4" borderId="4" xfId="0" applyFont="1" applyFill="1" applyBorder="1" applyAlignment="1">
      <alignment horizontal="center"/>
    </xf>
    <xf numFmtId="165" fontId="1" fillId="4" borderId="4" xfId="0" applyNumberFormat="1" applyFont="1" applyFill="1" applyBorder="1" applyAlignment="1">
      <alignment horizontal="center"/>
    </xf>
    <xf numFmtId="165" fontId="11" fillId="7" borderId="4" xfId="0" applyNumberFormat="1" applyFont="1" applyFill="1" applyBorder="1" applyAlignment="1">
      <alignment horizontal="center"/>
    </xf>
    <xf numFmtId="0" fontId="1" fillId="5" borderId="4" xfId="0" applyFont="1" applyFill="1" applyBorder="1"/>
    <xf numFmtId="0" fontId="3" fillId="5" borderId="4" xfId="0" applyFont="1" applyFill="1" applyBorder="1"/>
    <xf numFmtId="0" fontId="4" fillId="5" borderId="4" xfId="0" applyFont="1" applyFill="1" applyBorder="1" applyAlignment="1">
      <alignment wrapText="1"/>
    </xf>
    <xf numFmtId="164" fontId="3" fillId="5" borderId="4" xfId="0" applyNumberFormat="1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 wrapText="1"/>
    </xf>
    <xf numFmtId="165" fontId="3" fillId="5" borderId="4" xfId="0" applyNumberFormat="1" applyFont="1" applyFill="1" applyBorder="1"/>
    <xf numFmtId="165" fontId="11" fillId="7" borderId="4" xfId="0" applyNumberFormat="1" applyFont="1" applyFill="1" applyBorder="1"/>
    <xf numFmtId="0" fontId="12" fillId="7" borderId="4" xfId="0" applyFont="1" applyFill="1" applyBorder="1"/>
    <xf numFmtId="0" fontId="12" fillId="7" borderId="4" xfId="0" applyFont="1" applyFill="1" applyBorder="1" applyAlignment="1">
      <alignment wrapText="1"/>
    </xf>
    <xf numFmtId="164" fontId="12" fillId="7" borderId="4" xfId="0" applyNumberFormat="1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 wrapText="1"/>
    </xf>
    <xf numFmtId="9" fontId="12" fillId="7" borderId="4" xfId="0" applyNumberFormat="1" applyFont="1" applyFill="1" applyBorder="1"/>
    <xf numFmtId="165" fontId="12" fillId="7" borderId="4" xfId="0" applyNumberFormat="1" applyFont="1" applyFill="1" applyBorder="1"/>
    <xf numFmtId="0" fontId="11" fillId="0" borderId="4" xfId="0" applyFont="1" applyBorder="1"/>
    <xf numFmtId="0" fontId="11" fillId="0" borderId="4" xfId="0" applyFont="1" applyBorder="1" applyAlignment="1">
      <alignment wrapText="1"/>
    </xf>
    <xf numFmtId="164" fontId="11" fillId="0" borderId="4" xfId="0" applyNumberFormat="1" applyFont="1" applyBorder="1" applyAlignment="1">
      <alignment horizontal="center"/>
    </xf>
    <xf numFmtId="0" fontId="11" fillId="0" borderId="4" xfId="0" applyFont="1" applyBorder="1" applyAlignment="1">
      <alignment horizontal="center" wrapText="1"/>
    </xf>
    <xf numFmtId="9" fontId="11" fillId="0" borderId="4" xfId="0" applyNumberFormat="1" applyFont="1" applyBorder="1"/>
    <xf numFmtId="14" fontId="12" fillId="7" borderId="4" xfId="0" applyNumberFormat="1" applyFont="1" applyFill="1" applyBorder="1"/>
    <xf numFmtId="14" fontId="11" fillId="0" borderId="4" xfId="0" applyNumberFormat="1" applyFont="1" applyBorder="1"/>
    <xf numFmtId="0" fontId="12" fillId="8" borderId="4" xfId="0" applyFont="1" applyFill="1" applyBorder="1"/>
    <xf numFmtId="165" fontId="12" fillId="8" borderId="4" xfId="0" applyNumberFormat="1" applyFont="1" applyFill="1" applyBorder="1"/>
    <xf numFmtId="0" fontId="11" fillId="8" borderId="4" xfId="0" applyFont="1" applyFill="1" applyBorder="1" applyAlignment="1">
      <alignment wrapText="1"/>
    </xf>
    <xf numFmtId="14" fontId="11" fillId="8" borderId="4" xfId="0" applyNumberFormat="1" applyFont="1" applyFill="1" applyBorder="1"/>
    <xf numFmtId="0" fontId="11" fillId="8" borderId="4" xfId="0" applyFont="1" applyFill="1" applyBorder="1"/>
    <xf numFmtId="9" fontId="11" fillId="8" borderId="4" xfId="0" applyNumberFormat="1" applyFont="1" applyFill="1" applyBorder="1"/>
    <xf numFmtId="165" fontId="11" fillId="0" borderId="4" xfId="0" applyNumberFormat="1" applyFont="1" applyBorder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14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14" fontId="4" fillId="5" borderId="4" xfId="0" applyNumberFormat="1" applyFont="1" applyFill="1" applyBorder="1" applyAlignment="1">
      <alignment wrapText="1"/>
    </xf>
  </cellXfs>
  <cellStyles count="2">
    <cellStyle name="Normal" xfId="0" builtinId="0"/>
    <cellStyle name="Percent" xfId="1" builtinId="5"/>
  </cellStyles>
  <dxfs count="27"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65" formatCode="0.0"/>
      <fill>
        <patternFill patternType="solid">
          <fgColor indexed="64"/>
          <bgColor rgb="FFC0E6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65" formatCode="0.0"/>
      <fill>
        <patternFill patternType="solid">
          <fgColor indexed="64"/>
          <bgColor rgb="FFC0E6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65" formatCode="0.0"/>
      <fill>
        <patternFill patternType="solid">
          <fgColor indexed="64"/>
          <bgColor rgb="FFC0E6F5"/>
        </patternFill>
      </fill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0E6F5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ill>
        <patternFill>
          <bgColor rgb="FFFF5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7A003C"/>
      <color rgb="FFFF5050"/>
      <color rgb="FFC0E6F5"/>
      <color rgb="FFFEF1B8"/>
      <color rgb="FFFEF1A0"/>
      <color rgb="FFFFFF99"/>
      <color rgb="FFAA0865"/>
      <color rgb="FFF2325B"/>
      <color rgb="FFD60093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3</xdr:row>
          <xdr:rowOff>38100</xdr:rowOff>
        </xdr:from>
        <xdr:to>
          <xdr:col>3</xdr:col>
          <xdr:colOff>1356360</xdr:colOff>
          <xdr:row>4</xdr:row>
          <xdr:rowOff>60960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Add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4</xdr:row>
          <xdr:rowOff>137160</xdr:rowOff>
        </xdr:from>
        <xdr:to>
          <xdr:col>3</xdr:col>
          <xdr:colOff>1333500</xdr:colOff>
          <xdr:row>5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251460</xdr:rowOff>
        </xdr:from>
        <xdr:to>
          <xdr:col>3</xdr:col>
          <xdr:colOff>1325880</xdr:colOff>
          <xdr:row>6</xdr:row>
          <xdr:rowOff>281940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3</xdr:row>
          <xdr:rowOff>175260</xdr:rowOff>
        </xdr:from>
        <xdr:to>
          <xdr:col>7</xdr:col>
          <xdr:colOff>1188720</xdr:colOff>
          <xdr:row>4</xdr:row>
          <xdr:rowOff>205740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HideCompletedRows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4</xdr:row>
          <xdr:rowOff>350520</xdr:rowOff>
        </xdr:from>
        <xdr:to>
          <xdr:col>7</xdr:col>
          <xdr:colOff>1196340</xdr:colOff>
          <xdr:row>6</xdr:row>
          <xdr:rowOff>15240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ShowAll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1447800</xdr:colOff>
          <xdr:row>3</xdr:row>
          <xdr:rowOff>182880</xdr:rowOff>
        </xdr:from>
        <xdr:to>
          <xdr:col>10</xdr:col>
          <xdr:colOff>30480</xdr:colOff>
          <xdr:row>4</xdr:row>
          <xdr:rowOff>205740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ArchiveComplete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4</xdr:row>
          <xdr:rowOff>335280</xdr:rowOff>
        </xdr:from>
        <xdr:to>
          <xdr:col>10</xdr:col>
          <xdr:colOff>38100</xdr:colOff>
          <xdr:row>5</xdr:row>
          <xdr:rowOff>358140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RestoreArchived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449580</xdr:colOff>
          <xdr:row>3</xdr:row>
          <xdr:rowOff>335280</xdr:rowOff>
        </xdr:from>
        <xdr:to>
          <xdr:col>13</xdr:col>
          <xdr:colOff>182880</xdr:colOff>
          <xdr:row>5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MarkComplete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430FDC1-58C4-455C-B2E8-A5B0C9599A96}" autoFormatId="16" applyNumberFormats="0" applyBorderFormats="0" applyFontFormats="0" applyPatternFormats="0" applyAlignmentFormats="0" applyWidthHeightFormats="0">
  <queryTableRefresh nextId="2">
    <queryTableFields count="1">
      <queryTableField id="1" name="Project Cod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EE46C9-1A13-4610-9B6B-6BBE5F6506C8}" name="Industry" displayName="Industry" ref="A1:A393" tableType="queryTable" totalsRowShown="0">
  <autoFilter ref="A1:A393" xr:uid="{C2EE46C9-1A13-4610-9B6B-6BBE5F6506C8}"/>
  <tableColumns count="1">
    <tableColumn id="1" xr3:uid="{E7326258-2264-4D23-9BCC-F409816C65CC}" uniqueName="1" name="Project Code" queryTableFieldId="1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FA693-0C04-468D-BC5C-939AAC82EA80}" name="Table3" displayName="Table3" ref="E2:G7" totalsRowShown="0" tableBorderDxfId="15">
  <autoFilter ref="E2:G7" xr:uid="{E3AFA693-0C04-468D-BC5C-939AAC82EA80}"/>
  <tableColumns count="3">
    <tableColumn id="1" xr3:uid="{0FB76E36-6F2F-48EB-A3AC-6100BFAAD589}" name="Category" dataDxfId="14"/>
    <tableColumn id="2" xr3:uid="{2FB74F61-CDEB-41CB-9A6E-40B2B4B739E6}" name="Input" dataDxfId="13"/>
    <tableColumn id="3" xr3:uid="{8E08009B-36D7-41C8-A193-9C2D5A6954C7}" name="Column1" dataDxfId="1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172612-F3DD-4741-87AC-7663017CA980}" name="ProjectTable" displayName="ProjectTable" ref="A11:N52" totalsRowShown="0" headerRowDxfId="11" tableBorderDxfId="10">
  <autoFilter ref="A11:N52" xr:uid="{96172612-F3DD-4741-87AC-7663017CA980}"/>
  <tableColumns count="14">
    <tableColumn id="1" xr3:uid="{567F3D17-5E25-42A6-A6CB-0E0B30122842}" name="Name"/>
    <tableColumn id="2" xr3:uid="{5B2DA5DC-58D6-450C-B0AE-5A6059A9C5B4}" name="Employee hours per week"/>
    <tableColumn id="3" xr3:uid="{069AB212-031F-4F0F-8F15-06AF6F017F9A}" name="Project Code"/>
    <tableColumn id="4" xr3:uid="{D821A664-D984-4FA6-905A-85D638C8D034}" name="Task" dataDxfId="9"/>
    <tableColumn id="6" xr3:uid="{79A799D9-A319-4E83-8B82-52EE8761CB0A}" name="Additional Notes" dataDxfId="8"/>
    <tableColumn id="7" xr3:uid="{27F5EBDF-770D-4A69-8B1B-07284D8E9C12}" name="Start Date"/>
    <tableColumn id="8" xr3:uid="{BE5BF248-60DC-4E02-B835-218B02795759}" name="End Date"/>
    <tableColumn id="9" xr3:uid="{85707F1C-038D-4AC6-AFFB-8C3E699BEEF2}" name="Estimated Hours"/>
    <tableColumn id="10" xr3:uid="{16ED68CA-C913-48C7-8F04-94040AC579D4}" name="Status"/>
    <tableColumn id="11" xr3:uid="{941EC67B-AF74-417F-BAA7-6E13B6A197FA}" name="% Complete"/>
    <tableColumn id="12" xr3:uid="{140FB5D7-CF23-452D-A249-8784E96DBC39}" name="Hours Complete"/>
    <tableColumn id="14" xr3:uid="{F3ED062A-9212-4163-9FCA-7B098E84A3CD}" name="Days Remaining" dataDxfId="7">
      <calculatedColumnFormula>IF(ProjectTable[[#This Row],[End Date]]=",",IF(ProjectTable[[#This Row],[Status]]="Complete","Done",MAX(0,ProjectTable[[#This Row],[End Date]]-TODAY())))</calculatedColumnFormula>
    </tableColumn>
    <tableColumn id="5" xr3:uid="{E795980E-A341-4274-AFBE-59DB74AE056C}" name="Priority" dataDxfId="6"/>
    <tableColumn id="13" xr3:uid="{F32C3353-ACD1-41EA-877A-FBFF62529397}" name="Risk/Blocker Notes" dataDxfId="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8C4E78-0FE7-4B2D-AA97-C85DCA7FFAB4}" name="List" displayName="List" ref="B3:D20" totalsRowShown="0">
  <autoFilter ref="B3:D20" xr:uid="{248C4E78-0FE7-4B2D-AA97-C85DCA7FFAB4}"/>
  <tableColumns count="3">
    <tableColumn id="2" xr3:uid="{B0CFEE75-1B21-413D-B8DF-3081BA57CEDF}" name="Tasks"/>
    <tableColumn id="3" xr3:uid="{98D4795D-37C2-4925-980A-A72609D27135}" name="Priority"/>
    <tableColumn id="4" xr3:uid="{37A33177-D03C-4F94-9938-14F18E12325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82A78-9578-40E9-A476-000B7F9EC0CA}">
  <sheetPr codeName="Sheet3"/>
  <dimension ref="A1:A393"/>
  <sheetViews>
    <sheetView workbookViewId="0">
      <selection activeCell="N21" sqref="N21"/>
    </sheetView>
  </sheetViews>
  <sheetFormatPr defaultRowHeight="14.4" x14ac:dyDescent="0.3"/>
  <cols>
    <col min="1" max="1" width="14.33203125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  <row r="21" spans="1:1" x14ac:dyDescent="0.3">
      <c r="A21" t="s">
        <v>20</v>
      </c>
    </row>
    <row r="22" spans="1:1" x14ac:dyDescent="0.3">
      <c r="A22" t="s">
        <v>21</v>
      </c>
    </row>
    <row r="23" spans="1:1" x14ac:dyDescent="0.3">
      <c r="A23" t="s">
        <v>22</v>
      </c>
    </row>
    <row r="24" spans="1:1" x14ac:dyDescent="0.3">
      <c r="A24" t="s">
        <v>23</v>
      </c>
    </row>
    <row r="25" spans="1:1" x14ac:dyDescent="0.3">
      <c r="A25" t="s">
        <v>24</v>
      </c>
    </row>
    <row r="26" spans="1:1" x14ac:dyDescent="0.3">
      <c r="A26" t="s">
        <v>25</v>
      </c>
    </row>
    <row r="27" spans="1:1" x14ac:dyDescent="0.3">
      <c r="A27" t="s">
        <v>26</v>
      </c>
    </row>
    <row r="28" spans="1:1" x14ac:dyDescent="0.3">
      <c r="A28" t="s">
        <v>27</v>
      </c>
    </row>
    <row r="29" spans="1:1" x14ac:dyDescent="0.3">
      <c r="A29" t="s">
        <v>28</v>
      </c>
    </row>
    <row r="30" spans="1:1" x14ac:dyDescent="0.3">
      <c r="A30" t="s">
        <v>29</v>
      </c>
    </row>
    <row r="31" spans="1:1" x14ac:dyDescent="0.3">
      <c r="A31" t="s">
        <v>30</v>
      </c>
    </row>
    <row r="32" spans="1:1" x14ac:dyDescent="0.3">
      <c r="A32" t="s">
        <v>31</v>
      </c>
    </row>
    <row r="33" spans="1:1" x14ac:dyDescent="0.3">
      <c r="A33" t="s">
        <v>32</v>
      </c>
    </row>
    <row r="34" spans="1:1" x14ac:dyDescent="0.3">
      <c r="A34" t="s">
        <v>33</v>
      </c>
    </row>
    <row r="35" spans="1:1" x14ac:dyDescent="0.3">
      <c r="A35" t="s">
        <v>34</v>
      </c>
    </row>
    <row r="36" spans="1:1" x14ac:dyDescent="0.3">
      <c r="A36" t="s">
        <v>35</v>
      </c>
    </row>
    <row r="37" spans="1:1" x14ac:dyDescent="0.3">
      <c r="A37" t="s">
        <v>36</v>
      </c>
    </row>
    <row r="38" spans="1:1" x14ac:dyDescent="0.3">
      <c r="A38" t="s">
        <v>37</v>
      </c>
    </row>
    <row r="39" spans="1:1" x14ac:dyDescent="0.3">
      <c r="A39" t="s">
        <v>38</v>
      </c>
    </row>
    <row r="40" spans="1:1" x14ac:dyDescent="0.3">
      <c r="A40" t="s">
        <v>39</v>
      </c>
    </row>
    <row r="41" spans="1:1" x14ac:dyDescent="0.3">
      <c r="A41" t="s">
        <v>40</v>
      </c>
    </row>
    <row r="42" spans="1:1" x14ac:dyDescent="0.3">
      <c r="A42" t="s">
        <v>41</v>
      </c>
    </row>
    <row r="43" spans="1:1" x14ac:dyDescent="0.3">
      <c r="A43" t="s">
        <v>42</v>
      </c>
    </row>
    <row r="44" spans="1:1" x14ac:dyDescent="0.3">
      <c r="A44" t="s">
        <v>43</v>
      </c>
    </row>
    <row r="45" spans="1:1" x14ac:dyDescent="0.3">
      <c r="A45" t="s">
        <v>44</v>
      </c>
    </row>
    <row r="46" spans="1:1" x14ac:dyDescent="0.3">
      <c r="A46" t="s">
        <v>45</v>
      </c>
    </row>
    <row r="47" spans="1:1" x14ac:dyDescent="0.3">
      <c r="A47" t="s">
        <v>46</v>
      </c>
    </row>
    <row r="48" spans="1:1" x14ac:dyDescent="0.3">
      <c r="A48" t="s">
        <v>47</v>
      </c>
    </row>
    <row r="49" spans="1:1" x14ac:dyDescent="0.3">
      <c r="A49" t="s">
        <v>48</v>
      </c>
    </row>
    <row r="50" spans="1:1" x14ac:dyDescent="0.3">
      <c r="A50" t="s">
        <v>49</v>
      </c>
    </row>
    <row r="51" spans="1:1" x14ac:dyDescent="0.3">
      <c r="A51" t="s">
        <v>31</v>
      </c>
    </row>
    <row r="52" spans="1:1" x14ac:dyDescent="0.3">
      <c r="A52" t="s">
        <v>50</v>
      </c>
    </row>
    <row r="53" spans="1:1" x14ac:dyDescent="0.3">
      <c r="A53" t="s">
        <v>51</v>
      </c>
    </row>
    <row r="54" spans="1:1" x14ac:dyDescent="0.3">
      <c r="A54" t="s">
        <v>36</v>
      </c>
    </row>
    <row r="55" spans="1:1" x14ac:dyDescent="0.3">
      <c r="A55" t="s">
        <v>52</v>
      </c>
    </row>
    <row r="56" spans="1:1" x14ac:dyDescent="0.3">
      <c r="A56" t="s">
        <v>53</v>
      </c>
    </row>
    <row r="57" spans="1:1" x14ac:dyDescent="0.3">
      <c r="A57" t="s">
        <v>54</v>
      </c>
    </row>
    <row r="58" spans="1:1" x14ac:dyDescent="0.3">
      <c r="A58" t="s">
        <v>55</v>
      </c>
    </row>
    <row r="59" spans="1:1" x14ac:dyDescent="0.3">
      <c r="A59" t="s">
        <v>56</v>
      </c>
    </row>
    <row r="60" spans="1:1" x14ac:dyDescent="0.3">
      <c r="A60" t="s">
        <v>57</v>
      </c>
    </row>
    <row r="61" spans="1:1" x14ac:dyDescent="0.3">
      <c r="A61" t="s">
        <v>58</v>
      </c>
    </row>
    <row r="62" spans="1:1" x14ac:dyDescent="0.3">
      <c r="A62" t="s">
        <v>59</v>
      </c>
    </row>
    <row r="63" spans="1:1" x14ac:dyDescent="0.3">
      <c r="A63" t="s">
        <v>60</v>
      </c>
    </row>
    <row r="64" spans="1:1" x14ac:dyDescent="0.3">
      <c r="A64" t="s">
        <v>61</v>
      </c>
    </row>
    <row r="65" spans="1:1" x14ac:dyDescent="0.3">
      <c r="A65" t="s">
        <v>62</v>
      </c>
    </row>
    <row r="66" spans="1:1" x14ac:dyDescent="0.3">
      <c r="A66" t="s">
        <v>63</v>
      </c>
    </row>
    <row r="67" spans="1:1" x14ac:dyDescent="0.3">
      <c r="A67" t="s">
        <v>64</v>
      </c>
    </row>
    <row r="68" spans="1:1" x14ac:dyDescent="0.3">
      <c r="A68" t="s">
        <v>65</v>
      </c>
    </row>
    <row r="69" spans="1:1" x14ac:dyDescent="0.3">
      <c r="A69" t="s">
        <v>66</v>
      </c>
    </row>
    <row r="70" spans="1:1" x14ac:dyDescent="0.3">
      <c r="A70" t="s">
        <v>67</v>
      </c>
    </row>
    <row r="71" spans="1:1" x14ac:dyDescent="0.3">
      <c r="A71" t="s">
        <v>68</v>
      </c>
    </row>
    <row r="72" spans="1:1" x14ac:dyDescent="0.3">
      <c r="A72" t="s">
        <v>69</v>
      </c>
    </row>
    <row r="73" spans="1:1" x14ac:dyDescent="0.3">
      <c r="A73" t="s">
        <v>70</v>
      </c>
    </row>
    <row r="74" spans="1:1" x14ac:dyDescent="0.3">
      <c r="A74" t="s">
        <v>71</v>
      </c>
    </row>
    <row r="75" spans="1:1" x14ac:dyDescent="0.3">
      <c r="A75" t="s">
        <v>72</v>
      </c>
    </row>
    <row r="76" spans="1:1" x14ac:dyDescent="0.3">
      <c r="A76" t="s">
        <v>73</v>
      </c>
    </row>
    <row r="77" spans="1:1" x14ac:dyDescent="0.3">
      <c r="A77" t="s">
        <v>74</v>
      </c>
    </row>
    <row r="78" spans="1:1" x14ac:dyDescent="0.3">
      <c r="A78" t="s">
        <v>75</v>
      </c>
    </row>
    <row r="79" spans="1:1" x14ac:dyDescent="0.3">
      <c r="A79" t="s">
        <v>76</v>
      </c>
    </row>
    <row r="80" spans="1:1" x14ac:dyDescent="0.3">
      <c r="A80" t="s">
        <v>77</v>
      </c>
    </row>
    <row r="81" spans="1:1" x14ac:dyDescent="0.3">
      <c r="A81" t="s">
        <v>78</v>
      </c>
    </row>
    <row r="82" spans="1:1" x14ac:dyDescent="0.3">
      <c r="A82" t="s">
        <v>79</v>
      </c>
    </row>
    <row r="83" spans="1:1" x14ac:dyDescent="0.3">
      <c r="A83" t="s">
        <v>80</v>
      </c>
    </row>
    <row r="84" spans="1:1" x14ac:dyDescent="0.3">
      <c r="A84" t="s">
        <v>81</v>
      </c>
    </row>
    <row r="85" spans="1:1" x14ac:dyDescent="0.3">
      <c r="A85" t="s">
        <v>82</v>
      </c>
    </row>
    <row r="86" spans="1:1" x14ac:dyDescent="0.3">
      <c r="A86" t="s">
        <v>83</v>
      </c>
    </row>
    <row r="87" spans="1:1" x14ac:dyDescent="0.3">
      <c r="A87" t="s">
        <v>84</v>
      </c>
    </row>
    <row r="88" spans="1:1" x14ac:dyDescent="0.3">
      <c r="A88" t="s">
        <v>85</v>
      </c>
    </row>
    <row r="89" spans="1:1" x14ac:dyDescent="0.3">
      <c r="A89" t="s">
        <v>86</v>
      </c>
    </row>
    <row r="90" spans="1:1" x14ac:dyDescent="0.3">
      <c r="A90" t="s">
        <v>87</v>
      </c>
    </row>
    <row r="91" spans="1:1" x14ac:dyDescent="0.3">
      <c r="A91" t="s">
        <v>88</v>
      </c>
    </row>
    <row r="92" spans="1:1" x14ac:dyDescent="0.3">
      <c r="A92" t="s">
        <v>89</v>
      </c>
    </row>
    <row r="93" spans="1:1" x14ac:dyDescent="0.3">
      <c r="A93" t="s">
        <v>90</v>
      </c>
    </row>
    <row r="94" spans="1:1" x14ac:dyDescent="0.3">
      <c r="A94" t="s">
        <v>91</v>
      </c>
    </row>
    <row r="95" spans="1:1" x14ac:dyDescent="0.3">
      <c r="A95" t="s">
        <v>92</v>
      </c>
    </row>
    <row r="96" spans="1:1" x14ac:dyDescent="0.3">
      <c r="A96" t="s">
        <v>93</v>
      </c>
    </row>
    <row r="97" spans="1:1" x14ac:dyDescent="0.3">
      <c r="A97" t="s">
        <v>94</v>
      </c>
    </row>
    <row r="98" spans="1:1" x14ac:dyDescent="0.3">
      <c r="A98" t="s">
        <v>95</v>
      </c>
    </row>
    <row r="99" spans="1:1" x14ac:dyDescent="0.3">
      <c r="A99" t="s">
        <v>96</v>
      </c>
    </row>
    <row r="100" spans="1:1" x14ac:dyDescent="0.3">
      <c r="A100" t="s">
        <v>97</v>
      </c>
    </row>
    <row r="101" spans="1:1" x14ac:dyDescent="0.3">
      <c r="A101" t="s">
        <v>98</v>
      </c>
    </row>
    <row r="102" spans="1:1" x14ac:dyDescent="0.3">
      <c r="A102" t="s">
        <v>99</v>
      </c>
    </row>
    <row r="103" spans="1:1" x14ac:dyDescent="0.3">
      <c r="A103" t="s">
        <v>100</v>
      </c>
    </row>
    <row r="104" spans="1:1" x14ac:dyDescent="0.3">
      <c r="A104" t="s">
        <v>101</v>
      </c>
    </row>
    <row r="105" spans="1:1" x14ac:dyDescent="0.3">
      <c r="A105" t="s">
        <v>102</v>
      </c>
    </row>
    <row r="106" spans="1:1" x14ac:dyDescent="0.3">
      <c r="A106" t="s">
        <v>103</v>
      </c>
    </row>
    <row r="107" spans="1:1" x14ac:dyDescent="0.3">
      <c r="A107" t="s">
        <v>104</v>
      </c>
    </row>
    <row r="108" spans="1:1" x14ac:dyDescent="0.3">
      <c r="A108" t="s">
        <v>105</v>
      </c>
    </row>
    <row r="109" spans="1:1" x14ac:dyDescent="0.3">
      <c r="A109" t="s">
        <v>106</v>
      </c>
    </row>
    <row r="110" spans="1:1" x14ac:dyDescent="0.3">
      <c r="A110" t="s">
        <v>107</v>
      </c>
    </row>
    <row r="111" spans="1:1" x14ac:dyDescent="0.3">
      <c r="A111" t="s">
        <v>108</v>
      </c>
    </row>
    <row r="112" spans="1:1" x14ac:dyDescent="0.3">
      <c r="A112" t="s">
        <v>109</v>
      </c>
    </row>
    <row r="113" spans="1:1" x14ac:dyDescent="0.3">
      <c r="A113" t="s">
        <v>110</v>
      </c>
    </row>
    <row r="114" spans="1:1" x14ac:dyDescent="0.3">
      <c r="A114" t="s">
        <v>111</v>
      </c>
    </row>
    <row r="115" spans="1:1" x14ac:dyDescent="0.3">
      <c r="A115" t="s">
        <v>112</v>
      </c>
    </row>
    <row r="116" spans="1:1" x14ac:dyDescent="0.3">
      <c r="A116" t="s">
        <v>113</v>
      </c>
    </row>
    <row r="117" spans="1:1" x14ac:dyDescent="0.3">
      <c r="A117" t="s">
        <v>114</v>
      </c>
    </row>
    <row r="118" spans="1:1" x14ac:dyDescent="0.3">
      <c r="A118" t="s">
        <v>115</v>
      </c>
    </row>
    <row r="119" spans="1:1" x14ac:dyDescent="0.3">
      <c r="A119" t="s">
        <v>116</v>
      </c>
    </row>
    <row r="120" spans="1:1" x14ac:dyDescent="0.3">
      <c r="A120" t="s">
        <v>117</v>
      </c>
    </row>
    <row r="121" spans="1:1" x14ac:dyDescent="0.3">
      <c r="A121" t="s">
        <v>118</v>
      </c>
    </row>
    <row r="122" spans="1:1" x14ac:dyDescent="0.3">
      <c r="A122" t="s">
        <v>119</v>
      </c>
    </row>
    <row r="123" spans="1:1" x14ac:dyDescent="0.3">
      <c r="A123" t="s">
        <v>120</v>
      </c>
    </row>
    <row r="124" spans="1:1" x14ac:dyDescent="0.3">
      <c r="A124" t="s">
        <v>121</v>
      </c>
    </row>
    <row r="125" spans="1:1" x14ac:dyDescent="0.3">
      <c r="A125" t="s">
        <v>122</v>
      </c>
    </row>
    <row r="126" spans="1:1" x14ac:dyDescent="0.3">
      <c r="A126" t="s">
        <v>123</v>
      </c>
    </row>
    <row r="127" spans="1:1" x14ac:dyDescent="0.3">
      <c r="A127" t="s">
        <v>124</v>
      </c>
    </row>
    <row r="128" spans="1:1" x14ac:dyDescent="0.3">
      <c r="A128" t="s">
        <v>125</v>
      </c>
    </row>
    <row r="129" spans="1:1" x14ac:dyDescent="0.3">
      <c r="A129" t="s">
        <v>126</v>
      </c>
    </row>
    <row r="130" spans="1:1" x14ac:dyDescent="0.3">
      <c r="A130" t="s">
        <v>127</v>
      </c>
    </row>
    <row r="131" spans="1:1" x14ac:dyDescent="0.3">
      <c r="A131" t="s">
        <v>128</v>
      </c>
    </row>
    <row r="132" spans="1:1" x14ac:dyDescent="0.3">
      <c r="A132" t="s">
        <v>129</v>
      </c>
    </row>
    <row r="133" spans="1:1" x14ac:dyDescent="0.3">
      <c r="A133" t="s">
        <v>130</v>
      </c>
    </row>
    <row r="134" spans="1:1" x14ac:dyDescent="0.3">
      <c r="A134" t="s">
        <v>131</v>
      </c>
    </row>
    <row r="135" spans="1:1" x14ac:dyDescent="0.3">
      <c r="A135" t="s">
        <v>132</v>
      </c>
    </row>
    <row r="136" spans="1:1" x14ac:dyDescent="0.3">
      <c r="A136" t="s">
        <v>133</v>
      </c>
    </row>
    <row r="137" spans="1:1" x14ac:dyDescent="0.3">
      <c r="A137" t="s">
        <v>134</v>
      </c>
    </row>
    <row r="138" spans="1:1" x14ac:dyDescent="0.3">
      <c r="A138" t="s">
        <v>135</v>
      </c>
    </row>
    <row r="139" spans="1:1" x14ac:dyDescent="0.3">
      <c r="A139" t="s">
        <v>136</v>
      </c>
    </row>
    <row r="140" spans="1:1" x14ac:dyDescent="0.3">
      <c r="A140" t="s">
        <v>137</v>
      </c>
    </row>
    <row r="141" spans="1:1" x14ac:dyDescent="0.3">
      <c r="A141" t="s">
        <v>138</v>
      </c>
    </row>
    <row r="142" spans="1:1" x14ac:dyDescent="0.3">
      <c r="A142" t="s">
        <v>139</v>
      </c>
    </row>
    <row r="143" spans="1:1" x14ac:dyDescent="0.3">
      <c r="A143" t="s">
        <v>140</v>
      </c>
    </row>
    <row r="144" spans="1:1" x14ac:dyDescent="0.3">
      <c r="A144" t="s">
        <v>141</v>
      </c>
    </row>
    <row r="145" spans="1:1" x14ac:dyDescent="0.3">
      <c r="A145" t="s">
        <v>142</v>
      </c>
    </row>
    <row r="146" spans="1:1" x14ac:dyDescent="0.3">
      <c r="A146" t="s">
        <v>143</v>
      </c>
    </row>
    <row r="147" spans="1:1" x14ac:dyDescent="0.3">
      <c r="A147" t="s">
        <v>144</v>
      </c>
    </row>
    <row r="148" spans="1:1" x14ac:dyDescent="0.3">
      <c r="A148" t="s">
        <v>145</v>
      </c>
    </row>
    <row r="149" spans="1:1" x14ac:dyDescent="0.3">
      <c r="A149" t="s">
        <v>146</v>
      </c>
    </row>
    <row r="150" spans="1:1" x14ac:dyDescent="0.3">
      <c r="A150" t="s">
        <v>147</v>
      </c>
    </row>
    <row r="151" spans="1:1" x14ac:dyDescent="0.3">
      <c r="A151" t="s">
        <v>148</v>
      </c>
    </row>
    <row r="152" spans="1:1" x14ac:dyDescent="0.3">
      <c r="A152" t="s">
        <v>149</v>
      </c>
    </row>
    <row r="153" spans="1:1" x14ac:dyDescent="0.3">
      <c r="A153" t="s">
        <v>150</v>
      </c>
    </row>
    <row r="154" spans="1:1" x14ac:dyDescent="0.3">
      <c r="A154" t="s">
        <v>151</v>
      </c>
    </row>
    <row r="155" spans="1:1" x14ac:dyDescent="0.3">
      <c r="A155" t="s">
        <v>152</v>
      </c>
    </row>
    <row r="156" spans="1:1" x14ac:dyDescent="0.3">
      <c r="A156" t="s">
        <v>153</v>
      </c>
    </row>
    <row r="157" spans="1:1" x14ac:dyDescent="0.3">
      <c r="A157" t="s">
        <v>154</v>
      </c>
    </row>
    <row r="158" spans="1:1" x14ac:dyDescent="0.3">
      <c r="A158" t="s">
        <v>155</v>
      </c>
    </row>
    <row r="159" spans="1:1" x14ac:dyDescent="0.3">
      <c r="A159" t="s">
        <v>156</v>
      </c>
    </row>
    <row r="160" spans="1:1" x14ac:dyDescent="0.3">
      <c r="A160" t="s">
        <v>157</v>
      </c>
    </row>
    <row r="161" spans="1:1" x14ac:dyDescent="0.3">
      <c r="A161" t="s">
        <v>158</v>
      </c>
    </row>
    <row r="162" spans="1:1" x14ac:dyDescent="0.3">
      <c r="A162" t="s">
        <v>159</v>
      </c>
    </row>
    <row r="163" spans="1:1" x14ac:dyDescent="0.3">
      <c r="A163" t="s">
        <v>160</v>
      </c>
    </row>
    <row r="164" spans="1:1" x14ac:dyDescent="0.3">
      <c r="A164" t="s">
        <v>161</v>
      </c>
    </row>
    <row r="165" spans="1:1" x14ac:dyDescent="0.3">
      <c r="A165" t="s">
        <v>162</v>
      </c>
    </row>
    <row r="166" spans="1:1" x14ac:dyDescent="0.3">
      <c r="A166" t="s">
        <v>163</v>
      </c>
    </row>
    <row r="167" spans="1:1" x14ac:dyDescent="0.3">
      <c r="A167" t="s">
        <v>164</v>
      </c>
    </row>
    <row r="168" spans="1:1" x14ac:dyDescent="0.3">
      <c r="A168" t="s">
        <v>165</v>
      </c>
    </row>
    <row r="169" spans="1:1" x14ac:dyDescent="0.3">
      <c r="A169" t="s">
        <v>166</v>
      </c>
    </row>
    <row r="170" spans="1:1" x14ac:dyDescent="0.3">
      <c r="A170" t="s">
        <v>167</v>
      </c>
    </row>
    <row r="171" spans="1:1" x14ac:dyDescent="0.3">
      <c r="A171" t="s">
        <v>168</v>
      </c>
    </row>
    <row r="172" spans="1:1" x14ac:dyDescent="0.3">
      <c r="A172" t="s">
        <v>169</v>
      </c>
    </row>
    <row r="173" spans="1:1" x14ac:dyDescent="0.3">
      <c r="A173" t="s">
        <v>170</v>
      </c>
    </row>
    <row r="174" spans="1:1" x14ac:dyDescent="0.3">
      <c r="A174" t="s">
        <v>171</v>
      </c>
    </row>
    <row r="175" spans="1:1" x14ac:dyDescent="0.3">
      <c r="A175" t="s">
        <v>172</v>
      </c>
    </row>
    <row r="176" spans="1:1" x14ac:dyDescent="0.3">
      <c r="A176" t="s">
        <v>173</v>
      </c>
    </row>
    <row r="177" spans="1:1" x14ac:dyDescent="0.3">
      <c r="A177" t="s">
        <v>174</v>
      </c>
    </row>
    <row r="178" spans="1:1" x14ac:dyDescent="0.3">
      <c r="A178" t="s">
        <v>175</v>
      </c>
    </row>
    <row r="179" spans="1:1" x14ac:dyDescent="0.3">
      <c r="A179" t="s">
        <v>176</v>
      </c>
    </row>
    <row r="180" spans="1:1" x14ac:dyDescent="0.3">
      <c r="A180" t="s">
        <v>177</v>
      </c>
    </row>
    <row r="181" spans="1:1" x14ac:dyDescent="0.3">
      <c r="A181" t="s">
        <v>178</v>
      </c>
    </row>
    <row r="182" spans="1:1" x14ac:dyDescent="0.3">
      <c r="A182" t="s">
        <v>179</v>
      </c>
    </row>
    <row r="183" spans="1:1" x14ac:dyDescent="0.3">
      <c r="A183" t="s">
        <v>180</v>
      </c>
    </row>
    <row r="184" spans="1:1" x14ac:dyDescent="0.3">
      <c r="A184" t="s">
        <v>181</v>
      </c>
    </row>
    <row r="185" spans="1:1" x14ac:dyDescent="0.3">
      <c r="A185" t="s">
        <v>182</v>
      </c>
    </row>
    <row r="186" spans="1:1" x14ac:dyDescent="0.3">
      <c r="A186" t="s">
        <v>183</v>
      </c>
    </row>
    <row r="187" spans="1:1" x14ac:dyDescent="0.3">
      <c r="A187" t="s">
        <v>184</v>
      </c>
    </row>
    <row r="188" spans="1:1" x14ac:dyDescent="0.3">
      <c r="A188" t="s">
        <v>185</v>
      </c>
    </row>
    <row r="189" spans="1:1" x14ac:dyDescent="0.3">
      <c r="A189" t="s">
        <v>186</v>
      </c>
    </row>
    <row r="190" spans="1:1" x14ac:dyDescent="0.3">
      <c r="A190" t="s">
        <v>187</v>
      </c>
    </row>
    <row r="191" spans="1:1" x14ac:dyDescent="0.3">
      <c r="A191" t="s">
        <v>188</v>
      </c>
    </row>
    <row r="192" spans="1:1" x14ac:dyDescent="0.3">
      <c r="A192" t="s">
        <v>189</v>
      </c>
    </row>
    <row r="193" spans="1:1" x14ac:dyDescent="0.3">
      <c r="A193" t="s">
        <v>190</v>
      </c>
    </row>
    <row r="194" spans="1:1" x14ac:dyDescent="0.3">
      <c r="A194" t="s">
        <v>191</v>
      </c>
    </row>
    <row r="195" spans="1:1" x14ac:dyDescent="0.3">
      <c r="A195" t="s">
        <v>192</v>
      </c>
    </row>
    <row r="196" spans="1:1" x14ac:dyDescent="0.3">
      <c r="A196" t="s">
        <v>193</v>
      </c>
    </row>
    <row r="197" spans="1:1" x14ac:dyDescent="0.3">
      <c r="A197" t="s">
        <v>194</v>
      </c>
    </row>
    <row r="198" spans="1:1" x14ac:dyDescent="0.3">
      <c r="A198" t="s">
        <v>195</v>
      </c>
    </row>
    <row r="199" spans="1:1" x14ac:dyDescent="0.3">
      <c r="A199" t="s">
        <v>196</v>
      </c>
    </row>
    <row r="200" spans="1:1" x14ac:dyDescent="0.3">
      <c r="A200" t="s">
        <v>197</v>
      </c>
    </row>
    <row r="201" spans="1:1" x14ac:dyDescent="0.3">
      <c r="A201" t="s">
        <v>198</v>
      </c>
    </row>
    <row r="202" spans="1:1" x14ac:dyDescent="0.3">
      <c r="A202" t="s">
        <v>199</v>
      </c>
    </row>
    <row r="203" spans="1:1" x14ac:dyDescent="0.3">
      <c r="A203" t="s">
        <v>200</v>
      </c>
    </row>
    <row r="204" spans="1:1" x14ac:dyDescent="0.3">
      <c r="A204" t="s">
        <v>201</v>
      </c>
    </row>
    <row r="205" spans="1:1" x14ac:dyDescent="0.3">
      <c r="A205" t="s">
        <v>202</v>
      </c>
    </row>
    <row r="206" spans="1:1" x14ac:dyDescent="0.3">
      <c r="A206" t="s">
        <v>203</v>
      </c>
    </row>
    <row r="207" spans="1:1" x14ac:dyDescent="0.3">
      <c r="A207" t="s">
        <v>204</v>
      </c>
    </row>
    <row r="208" spans="1:1" x14ac:dyDescent="0.3">
      <c r="A208" t="s">
        <v>205</v>
      </c>
    </row>
    <row r="209" spans="1:1" x14ac:dyDescent="0.3">
      <c r="A209" t="s">
        <v>206</v>
      </c>
    </row>
    <row r="210" spans="1:1" x14ac:dyDescent="0.3">
      <c r="A210" t="s">
        <v>207</v>
      </c>
    </row>
    <row r="211" spans="1:1" x14ac:dyDescent="0.3">
      <c r="A211" t="s">
        <v>208</v>
      </c>
    </row>
    <row r="212" spans="1:1" x14ac:dyDescent="0.3">
      <c r="A212" t="s">
        <v>209</v>
      </c>
    </row>
    <row r="213" spans="1:1" x14ac:dyDescent="0.3">
      <c r="A213" t="s">
        <v>210</v>
      </c>
    </row>
    <row r="214" spans="1:1" x14ac:dyDescent="0.3">
      <c r="A214" t="s">
        <v>211</v>
      </c>
    </row>
    <row r="215" spans="1:1" x14ac:dyDescent="0.3">
      <c r="A215" t="s">
        <v>212</v>
      </c>
    </row>
    <row r="216" spans="1:1" x14ac:dyDescent="0.3">
      <c r="A216" t="s">
        <v>213</v>
      </c>
    </row>
    <row r="217" spans="1:1" x14ac:dyDescent="0.3">
      <c r="A217" t="s">
        <v>214</v>
      </c>
    </row>
    <row r="218" spans="1:1" x14ac:dyDescent="0.3">
      <c r="A218" t="s">
        <v>215</v>
      </c>
    </row>
    <row r="219" spans="1:1" x14ac:dyDescent="0.3">
      <c r="A219" t="s">
        <v>216</v>
      </c>
    </row>
    <row r="220" spans="1:1" x14ac:dyDescent="0.3">
      <c r="A220" t="s">
        <v>217</v>
      </c>
    </row>
    <row r="221" spans="1:1" x14ac:dyDescent="0.3">
      <c r="A221" t="s">
        <v>218</v>
      </c>
    </row>
    <row r="222" spans="1:1" x14ac:dyDescent="0.3">
      <c r="A222" t="s">
        <v>219</v>
      </c>
    </row>
    <row r="223" spans="1:1" x14ac:dyDescent="0.3">
      <c r="A223" t="s">
        <v>220</v>
      </c>
    </row>
    <row r="224" spans="1:1" x14ac:dyDescent="0.3">
      <c r="A224" t="s">
        <v>221</v>
      </c>
    </row>
    <row r="225" spans="1:1" x14ac:dyDescent="0.3">
      <c r="A225" t="s">
        <v>222</v>
      </c>
    </row>
    <row r="226" spans="1:1" x14ac:dyDescent="0.3">
      <c r="A226" t="s">
        <v>223</v>
      </c>
    </row>
    <row r="227" spans="1:1" x14ac:dyDescent="0.3">
      <c r="A227" t="s">
        <v>224</v>
      </c>
    </row>
    <row r="228" spans="1:1" x14ac:dyDescent="0.3">
      <c r="A228" t="s">
        <v>225</v>
      </c>
    </row>
    <row r="229" spans="1:1" x14ac:dyDescent="0.3">
      <c r="A229" t="s">
        <v>226</v>
      </c>
    </row>
    <row r="230" spans="1:1" x14ac:dyDescent="0.3">
      <c r="A230" t="s">
        <v>227</v>
      </c>
    </row>
    <row r="231" spans="1:1" x14ac:dyDescent="0.3">
      <c r="A231" t="s">
        <v>228</v>
      </c>
    </row>
    <row r="232" spans="1:1" x14ac:dyDescent="0.3">
      <c r="A232" t="s">
        <v>229</v>
      </c>
    </row>
    <row r="233" spans="1:1" x14ac:dyDescent="0.3">
      <c r="A233" t="s">
        <v>230</v>
      </c>
    </row>
    <row r="234" spans="1:1" x14ac:dyDescent="0.3">
      <c r="A234" t="s">
        <v>231</v>
      </c>
    </row>
    <row r="235" spans="1:1" x14ac:dyDescent="0.3">
      <c r="A235" t="s">
        <v>232</v>
      </c>
    </row>
    <row r="236" spans="1:1" x14ac:dyDescent="0.3">
      <c r="A236" t="s">
        <v>233</v>
      </c>
    </row>
    <row r="237" spans="1:1" x14ac:dyDescent="0.3">
      <c r="A237" t="s">
        <v>234</v>
      </c>
    </row>
    <row r="238" spans="1:1" x14ac:dyDescent="0.3">
      <c r="A238" t="s">
        <v>235</v>
      </c>
    </row>
    <row r="239" spans="1:1" x14ac:dyDescent="0.3">
      <c r="A239" t="s">
        <v>236</v>
      </c>
    </row>
    <row r="240" spans="1:1" x14ac:dyDescent="0.3">
      <c r="A240" t="s">
        <v>237</v>
      </c>
    </row>
    <row r="241" spans="1:1" x14ac:dyDescent="0.3">
      <c r="A241" t="s">
        <v>238</v>
      </c>
    </row>
    <row r="242" spans="1:1" x14ac:dyDescent="0.3">
      <c r="A242" t="s">
        <v>239</v>
      </c>
    </row>
    <row r="243" spans="1:1" x14ac:dyDescent="0.3">
      <c r="A243" t="s">
        <v>240</v>
      </c>
    </row>
    <row r="244" spans="1:1" x14ac:dyDescent="0.3">
      <c r="A244" t="s">
        <v>241</v>
      </c>
    </row>
    <row r="245" spans="1:1" x14ac:dyDescent="0.3">
      <c r="A245" t="s">
        <v>242</v>
      </c>
    </row>
    <row r="246" spans="1:1" x14ac:dyDescent="0.3">
      <c r="A246" t="s">
        <v>243</v>
      </c>
    </row>
    <row r="247" spans="1:1" x14ac:dyDescent="0.3">
      <c r="A247" t="s">
        <v>244</v>
      </c>
    </row>
    <row r="248" spans="1:1" x14ac:dyDescent="0.3">
      <c r="A248" t="s">
        <v>245</v>
      </c>
    </row>
    <row r="249" spans="1:1" x14ac:dyDescent="0.3">
      <c r="A249" t="s">
        <v>246</v>
      </c>
    </row>
    <row r="250" spans="1:1" x14ac:dyDescent="0.3">
      <c r="A250" t="s">
        <v>247</v>
      </c>
    </row>
    <row r="251" spans="1:1" x14ac:dyDescent="0.3">
      <c r="A251" t="s">
        <v>248</v>
      </c>
    </row>
    <row r="252" spans="1:1" x14ac:dyDescent="0.3">
      <c r="A252" t="s">
        <v>249</v>
      </c>
    </row>
    <row r="253" spans="1:1" x14ac:dyDescent="0.3">
      <c r="A253" t="s">
        <v>250</v>
      </c>
    </row>
    <row r="254" spans="1:1" x14ac:dyDescent="0.3">
      <c r="A254" t="s">
        <v>251</v>
      </c>
    </row>
    <row r="255" spans="1:1" x14ac:dyDescent="0.3">
      <c r="A255" t="s">
        <v>252</v>
      </c>
    </row>
    <row r="256" spans="1:1" x14ac:dyDescent="0.3">
      <c r="A256" t="s">
        <v>253</v>
      </c>
    </row>
    <row r="257" spans="1:1" x14ac:dyDescent="0.3">
      <c r="A257" t="s">
        <v>254</v>
      </c>
    </row>
    <row r="258" spans="1:1" x14ac:dyDescent="0.3">
      <c r="A258" t="s">
        <v>255</v>
      </c>
    </row>
    <row r="259" spans="1:1" x14ac:dyDescent="0.3">
      <c r="A259" t="s">
        <v>256</v>
      </c>
    </row>
    <row r="260" spans="1:1" x14ac:dyDescent="0.3">
      <c r="A260" t="s">
        <v>257</v>
      </c>
    </row>
    <row r="261" spans="1:1" x14ac:dyDescent="0.3">
      <c r="A261" t="s">
        <v>258</v>
      </c>
    </row>
    <row r="262" spans="1:1" x14ac:dyDescent="0.3">
      <c r="A262" t="s">
        <v>259</v>
      </c>
    </row>
    <row r="263" spans="1:1" x14ac:dyDescent="0.3">
      <c r="A263" t="s">
        <v>260</v>
      </c>
    </row>
    <row r="264" spans="1:1" x14ac:dyDescent="0.3">
      <c r="A264" t="s">
        <v>261</v>
      </c>
    </row>
    <row r="265" spans="1:1" x14ac:dyDescent="0.3">
      <c r="A265" t="s">
        <v>262</v>
      </c>
    </row>
    <row r="266" spans="1:1" x14ac:dyDescent="0.3">
      <c r="A266" t="s">
        <v>263</v>
      </c>
    </row>
    <row r="267" spans="1:1" x14ac:dyDescent="0.3">
      <c r="A267" t="s">
        <v>264</v>
      </c>
    </row>
    <row r="268" spans="1:1" x14ac:dyDescent="0.3">
      <c r="A268" t="s">
        <v>265</v>
      </c>
    </row>
    <row r="269" spans="1:1" x14ac:dyDescent="0.3">
      <c r="A269" t="s">
        <v>266</v>
      </c>
    </row>
    <row r="270" spans="1:1" x14ac:dyDescent="0.3">
      <c r="A270" t="s">
        <v>267</v>
      </c>
    </row>
    <row r="271" spans="1:1" x14ac:dyDescent="0.3">
      <c r="A271" t="s">
        <v>268</v>
      </c>
    </row>
    <row r="272" spans="1:1" x14ac:dyDescent="0.3">
      <c r="A272" t="s">
        <v>269</v>
      </c>
    </row>
    <row r="273" spans="1:1" x14ac:dyDescent="0.3">
      <c r="A273" t="s">
        <v>270</v>
      </c>
    </row>
    <row r="274" spans="1:1" x14ac:dyDescent="0.3">
      <c r="A274" t="s">
        <v>271</v>
      </c>
    </row>
    <row r="275" spans="1:1" x14ac:dyDescent="0.3">
      <c r="A275" t="s">
        <v>272</v>
      </c>
    </row>
    <row r="276" spans="1:1" x14ac:dyDescent="0.3">
      <c r="A276" t="s">
        <v>273</v>
      </c>
    </row>
    <row r="277" spans="1:1" x14ac:dyDescent="0.3">
      <c r="A277" t="s">
        <v>274</v>
      </c>
    </row>
    <row r="278" spans="1:1" x14ac:dyDescent="0.3">
      <c r="A278" t="s">
        <v>275</v>
      </c>
    </row>
    <row r="279" spans="1:1" x14ac:dyDescent="0.3">
      <c r="A279" t="s">
        <v>276</v>
      </c>
    </row>
    <row r="280" spans="1:1" x14ac:dyDescent="0.3">
      <c r="A280" t="s">
        <v>277</v>
      </c>
    </row>
    <row r="281" spans="1:1" x14ac:dyDescent="0.3">
      <c r="A281" t="s">
        <v>278</v>
      </c>
    </row>
    <row r="282" spans="1:1" x14ac:dyDescent="0.3">
      <c r="A282" t="s">
        <v>279</v>
      </c>
    </row>
    <row r="283" spans="1:1" x14ac:dyDescent="0.3">
      <c r="A283" t="s">
        <v>280</v>
      </c>
    </row>
    <row r="284" spans="1:1" x14ac:dyDescent="0.3">
      <c r="A284" t="s">
        <v>281</v>
      </c>
    </row>
    <row r="285" spans="1:1" x14ac:dyDescent="0.3">
      <c r="A285" t="s">
        <v>282</v>
      </c>
    </row>
    <row r="286" spans="1:1" x14ac:dyDescent="0.3">
      <c r="A286" t="s">
        <v>283</v>
      </c>
    </row>
    <row r="287" spans="1:1" x14ac:dyDescent="0.3">
      <c r="A287" t="s">
        <v>284</v>
      </c>
    </row>
    <row r="288" spans="1:1" x14ac:dyDescent="0.3">
      <c r="A288" t="s">
        <v>285</v>
      </c>
    </row>
    <row r="289" spans="1:1" x14ac:dyDescent="0.3">
      <c r="A289" t="s">
        <v>286</v>
      </c>
    </row>
    <row r="290" spans="1:1" x14ac:dyDescent="0.3">
      <c r="A290" t="s">
        <v>287</v>
      </c>
    </row>
    <row r="291" spans="1:1" x14ac:dyDescent="0.3">
      <c r="A291" t="s">
        <v>288</v>
      </c>
    </row>
    <row r="292" spans="1:1" x14ac:dyDescent="0.3">
      <c r="A292" t="s">
        <v>289</v>
      </c>
    </row>
    <row r="293" spans="1:1" x14ac:dyDescent="0.3">
      <c r="A293" t="s">
        <v>290</v>
      </c>
    </row>
    <row r="294" spans="1:1" x14ac:dyDescent="0.3">
      <c r="A294" t="s">
        <v>291</v>
      </c>
    </row>
    <row r="295" spans="1:1" x14ac:dyDescent="0.3">
      <c r="A295" t="s">
        <v>292</v>
      </c>
    </row>
    <row r="296" spans="1:1" x14ac:dyDescent="0.3">
      <c r="A296" t="s">
        <v>293</v>
      </c>
    </row>
    <row r="297" spans="1:1" x14ac:dyDescent="0.3">
      <c r="A297" t="s">
        <v>294</v>
      </c>
    </row>
    <row r="298" spans="1:1" x14ac:dyDescent="0.3">
      <c r="A298" t="s">
        <v>295</v>
      </c>
    </row>
    <row r="299" spans="1:1" x14ac:dyDescent="0.3">
      <c r="A299" t="s">
        <v>296</v>
      </c>
    </row>
    <row r="300" spans="1:1" x14ac:dyDescent="0.3">
      <c r="A300" t="s">
        <v>297</v>
      </c>
    </row>
    <row r="301" spans="1:1" x14ac:dyDescent="0.3">
      <c r="A301" t="s">
        <v>298</v>
      </c>
    </row>
    <row r="302" spans="1:1" x14ac:dyDescent="0.3">
      <c r="A302" t="s">
        <v>299</v>
      </c>
    </row>
    <row r="303" spans="1:1" x14ac:dyDescent="0.3">
      <c r="A303" t="s">
        <v>300</v>
      </c>
    </row>
    <row r="304" spans="1:1" x14ac:dyDescent="0.3">
      <c r="A304" t="s">
        <v>301</v>
      </c>
    </row>
    <row r="305" spans="1:1" x14ac:dyDescent="0.3">
      <c r="A305" t="s">
        <v>302</v>
      </c>
    </row>
    <row r="306" spans="1:1" x14ac:dyDescent="0.3">
      <c r="A306" t="s">
        <v>303</v>
      </c>
    </row>
    <row r="307" spans="1:1" x14ac:dyDescent="0.3">
      <c r="A307" t="s">
        <v>304</v>
      </c>
    </row>
    <row r="308" spans="1:1" x14ac:dyDescent="0.3">
      <c r="A308" t="s">
        <v>305</v>
      </c>
    </row>
    <row r="309" spans="1:1" x14ac:dyDescent="0.3">
      <c r="A309" t="s">
        <v>306</v>
      </c>
    </row>
    <row r="310" spans="1:1" x14ac:dyDescent="0.3">
      <c r="A310" t="s">
        <v>307</v>
      </c>
    </row>
    <row r="311" spans="1:1" x14ac:dyDescent="0.3">
      <c r="A311" t="s">
        <v>308</v>
      </c>
    </row>
    <row r="312" spans="1:1" x14ac:dyDescent="0.3">
      <c r="A312" t="s">
        <v>309</v>
      </c>
    </row>
    <row r="313" spans="1:1" x14ac:dyDescent="0.3">
      <c r="A313" t="s">
        <v>310</v>
      </c>
    </row>
    <row r="314" spans="1:1" x14ac:dyDescent="0.3">
      <c r="A314" t="s">
        <v>311</v>
      </c>
    </row>
    <row r="315" spans="1:1" x14ac:dyDescent="0.3">
      <c r="A315" t="s">
        <v>312</v>
      </c>
    </row>
    <row r="316" spans="1:1" x14ac:dyDescent="0.3">
      <c r="A316" t="s">
        <v>313</v>
      </c>
    </row>
    <row r="317" spans="1:1" x14ac:dyDescent="0.3">
      <c r="A317" t="s">
        <v>314</v>
      </c>
    </row>
    <row r="318" spans="1:1" x14ac:dyDescent="0.3">
      <c r="A318" t="s">
        <v>315</v>
      </c>
    </row>
    <row r="319" spans="1:1" x14ac:dyDescent="0.3">
      <c r="A319" t="s">
        <v>316</v>
      </c>
    </row>
    <row r="320" spans="1:1" x14ac:dyDescent="0.3">
      <c r="A320" t="s">
        <v>317</v>
      </c>
    </row>
    <row r="321" spans="1:1" x14ac:dyDescent="0.3">
      <c r="A321" t="s">
        <v>318</v>
      </c>
    </row>
    <row r="322" spans="1:1" x14ac:dyDescent="0.3">
      <c r="A322" t="s">
        <v>319</v>
      </c>
    </row>
    <row r="323" spans="1:1" x14ac:dyDescent="0.3">
      <c r="A323" t="s">
        <v>320</v>
      </c>
    </row>
    <row r="324" spans="1:1" x14ac:dyDescent="0.3">
      <c r="A324" t="s">
        <v>321</v>
      </c>
    </row>
    <row r="325" spans="1:1" x14ac:dyDescent="0.3">
      <c r="A325" t="s">
        <v>322</v>
      </c>
    </row>
    <row r="326" spans="1:1" x14ac:dyDescent="0.3">
      <c r="A326" t="s">
        <v>323</v>
      </c>
    </row>
    <row r="327" spans="1:1" x14ac:dyDescent="0.3">
      <c r="A327" t="s">
        <v>324</v>
      </c>
    </row>
    <row r="328" spans="1:1" x14ac:dyDescent="0.3">
      <c r="A328" t="s">
        <v>325</v>
      </c>
    </row>
    <row r="329" spans="1:1" x14ac:dyDescent="0.3">
      <c r="A329" t="s">
        <v>326</v>
      </c>
    </row>
    <row r="330" spans="1:1" x14ac:dyDescent="0.3">
      <c r="A330" t="s">
        <v>327</v>
      </c>
    </row>
    <row r="331" spans="1:1" x14ac:dyDescent="0.3">
      <c r="A331" t="s">
        <v>328</v>
      </c>
    </row>
    <row r="332" spans="1:1" x14ac:dyDescent="0.3">
      <c r="A332" t="s">
        <v>329</v>
      </c>
    </row>
    <row r="333" spans="1:1" x14ac:dyDescent="0.3">
      <c r="A333" t="s">
        <v>330</v>
      </c>
    </row>
    <row r="334" spans="1:1" x14ac:dyDescent="0.3">
      <c r="A334" t="s">
        <v>331</v>
      </c>
    </row>
    <row r="335" spans="1:1" x14ac:dyDescent="0.3">
      <c r="A335" t="s">
        <v>332</v>
      </c>
    </row>
    <row r="336" spans="1:1" x14ac:dyDescent="0.3">
      <c r="A336" t="s">
        <v>333</v>
      </c>
    </row>
    <row r="337" spans="1:1" x14ac:dyDescent="0.3">
      <c r="A337" t="s">
        <v>334</v>
      </c>
    </row>
    <row r="338" spans="1:1" x14ac:dyDescent="0.3">
      <c r="A338" t="s">
        <v>335</v>
      </c>
    </row>
    <row r="339" spans="1:1" x14ac:dyDescent="0.3">
      <c r="A339" t="s">
        <v>336</v>
      </c>
    </row>
    <row r="340" spans="1:1" x14ac:dyDescent="0.3">
      <c r="A340" t="s">
        <v>337</v>
      </c>
    </row>
    <row r="341" spans="1:1" x14ac:dyDescent="0.3">
      <c r="A341" t="s">
        <v>338</v>
      </c>
    </row>
    <row r="342" spans="1:1" x14ac:dyDescent="0.3">
      <c r="A342" t="s">
        <v>339</v>
      </c>
    </row>
    <row r="343" spans="1:1" x14ac:dyDescent="0.3">
      <c r="A343" t="s">
        <v>340</v>
      </c>
    </row>
    <row r="344" spans="1:1" x14ac:dyDescent="0.3">
      <c r="A344" t="s">
        <v>341</v>
      </c>
    </row>
    <row r="345" spans="1:1" x14ac:dyDescent="0.3">
      <c r="A345" t="s">
        <v>342</v>
      </c>
    </row>
    <row r="346" spans="1:1" x14ac:dyDescent="0.3">
      <c r="A346" t="s">
        <v>343</v>
      </c>
    </row>
    <row r="347" spans="1:1" x14ac:dyDescent="0.3">
      <c r="A347" t="s">
        <v>344</v>
      </c>
    </row>
    <row r="348" spans="1:1" x14ac:dyDescent="0.3">
      <c r="A348" t="s">
        <v>345</v>
      </c>
    </row>
    <row r="349" spans="1:1" x14ac:dyDescent="0.3">
      <c r="A349" t="s">
        <v>346</v>
      </c>
    </row>
    <row r="350" spans="1:1" x14ac:dyDescent="0.3">
      <c r="A350" t="s">
        <v>347</v>
      </c>
    </row>
    <row r="351" spans="1:1" x14ac:dyDescent="0.3">
      <c r="A351" t="s">
        <v>348</v>
      </c>
    </row>
    <row r="352" spans="1:1" x14ac:dyDescent="0.3">
      <c r="A352" t="s">
        <v>349</v>
      </c>
    </row>
    <row r="353" spans="1:1" x14ac:dyDescent="0.3">
      <c r="A353" t="s">
        <v>350</v>
      </c>
    </row>
    <row r="354" spans="1:1" x14ac:dyDescent="0.3">
      <c r="A354" t="s">
        <v>351</v>
      </c>
    </row>
    <row r="355" spans="1:1" x14ac:dyDescent="0.3">
      <c r="A355" t="s">
        <v>352</v>
      </c>
    </row>
    <row r="356" spans="1:1" x14ac:dyDescent="0.3">
      <c r="A356" t="s">
        <v>353</v>
      </c>
    </row>
    <row r="357" spans="1:1" x14ac:dyDescent="0.3">
      <c r="A357" t="s">
        <v>354</v>
      </c>
    </row>
    <row r="358" spans="1:1" x14ac:dyDescent="0.3">
      <c r="A358" t="s">
        <v>355</v>
      </c>
    </row>
    <row r="359" spans="1:1" x14ac:dyDescent="0.3">
      <c r="A359" t="s">
        <v>356</v>
      </c>
    </row>
    <row r="360" spans="1:1" x14ac:dyDescent="0.3">
      <c r="A360" t="s">
        <v>357</v>
      </c>
    </row>
    <row r="361" spans="1:1" x14ac:dyDescent="0.3">
      <c r="A361" t="s">
        <v>358</v>
      </c>
    </row>
    <row r="362" spans="1:1" x14ac:dyDescent="0.3">
      <c r="A362" t="s">
        <v>359</v>
      </c>
    </row>
    <row r="363" spans="1:1" x14ac:dyDescent="0.3">
      <c r="A363" t="s">
        <v>360</v>
      </c>
    </row>
    <row r="364" spans="1:1" x14ac:dyDescent="0.3">
      <c r="A364" t="s">
        <v>361</v>
      </c>
    </row>
    <row r="365" spans="1:1" x14ac:dyDescent="0.3">
      <c r="A365" t="s">
        <v>362</v>
      </c>
    </row>
    <row r="366" spans="1:1" x14ac:dyDescent="0.3">
      <c r="A366" t="s">
        <v>363</v>
      </c>
    </row>
    <row r="367" spans="1:1" x14ac:dyDescent="0.3">
      <c r="A367" t="s">
        <v>364</v>
      </c>
    </row>
    <row r="368" spans="1:1" x14ac:dyDescent="0.3">
      <c r="A368" t="s">
        <v>365</v>
      </c>
    </row>
    <row r="369" spans="1:1" x14ac:dyDescent="0.3">
      <c r="A369" t="s">
        <v>366</v>
      </c>
    </row>
    <row r="370" spans="1:1" x14ac:dyDescent="0.3">
      <c r="A370" t="s">
        <v>367</v>
      </c>
    </row>
    <row r="371" spans="1:1" x14ac:dyDescent="0.3">
      <c r="A371" t="s">
        <v>368</v>
      </c>
    </row>
    <row r="372" spans="1:1" x14ac:dyDescent="0.3">
      <c r="A372" t="s">
        <v>369</v>
      </c>
    </row>
    <row r="373" spans="1:1" x14ac:dyDescent="0.3">
      <c r="A373" t="s">
        <v>370</v>
      </c>
    </row>
    <row r="374" spans="1:1" x14ac:dyDescent="0.3">
      <c r="A374" t="s">
        <v>371</v>
      </c>
    </row>
    <row r="375" spans="1:1" x14ac:dyDescent="0.3">
      <c r="A375" t="s">
        <v>372</v>
      </c>
    </row>
    <row r="376" spans="1:1" x14ac:dyDescent="0.3">
      <c r="A376" t="s">
        <v>373</v>
      </c>
    </row>
    <row r="377" spans="1:1" x14ac:dyDescent="0.3">
      <c r="A377" t="s">
        <v>374</v>
      </c>
    </row>
    <row r="378" spans="1:1" x14ac:dyDescent="0.3">
      <c r="A378" t="s">
        <v>375</v>
      </c>
    </row>
    <row r="379" spans="1:1" x14ac:dyDescent="0.3">
      <c r="A379" t="s">
        <v>376</v>
      </c>
    </row>
    <row r="380" spans="1:1" x14ac:dyDescent="0.3">
      <c r="A380" t="s">
        <v>377</v>
      </c>
    </row>
    <row r="381" spans="1:1" x14ac:dyDescent="0.3">
      <c r="A381" t="s">
        <v>378</v>
      </c>
    </row>
    <row r="382" spans="1:1" x14ac:dyDescent="0.3">
      <c r="A382" t="s">
        <v>379</v>
      </c>
    </row>
    <row r="383" spans="1:1" x14ac:dyDescent="0.3">
      <c r="A383" t="s">
        <v>380</v>
      </c>
    </row>
    <row r="384" spans="1:1" x14ac:dyDescent="0.3">
      <c r="A384" t="s">
        <v>381</v>
      </c>
    </row>
    <row r="385" spans="1:1" x14ac:dyDescent="0.3">
      <c r="A385" t="s">
        <v>382</v>
      </c>
    </row>
    <row r="386" spans="1:1" x14ac:dyDescent="0.3">
      <c r="A386" t="s">
        <v>383</v>
      </c>
    </row>
    <row r="387" spans="1:1" x14ac:dyDescent="0.3">
      <c r="A387" t="s">
        <v>384</v>
      </c>
    </row>
    <row r="388" spans="1:1" x14ac:dyDescent="0.3">
      <c r="A388" t="s">
        <v>385</v>
      </c>
    </row>
    <row r="389" spans="1:1" x14ac:dyDescent="0.3">
      <c r="A389" t="s">
        <v>386</v>
      </c>
    </row>
    <row r="390" spans="1:1" x14ac:dyDescent="0.3">
      <c r="A390" t="s">
        <v>387</v>
      </c>
    </row>
    <row r="391" spans="1:1" x14ac:dyDescent="0.3">
      <c r="A391" t="s">
        <v>388</v>
      </c>
    </row>
    <row r="392" spans="1:1" x14ac:dyDescent="0.3">
      <c r="A392" t="s">
        <v>389</v>
      </c>
    </row>
    <row r="393" spans="1:1" x14ac:dyDescent="0.3">
      <c r="A393" t="s">
        <v>390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5583A-A2DE-4994-8148-B2B4EC7D2C0D}">
  <sheetPr codeName="Sheet6"/>
  <dimension ref="A1:A49"/>
  <sheetViews>
    <sheetView topLeftCell="A35" workbookViewId="0">
      <selection activeCell="A40" sqref="A40"/>
    </sheetView>
  </sheetViews>
  <sheetFormatPr defaultRowHeight="14.4" x14ac:dyDescent="0.3"/>
  <sheetData>
    <row r="1" spans="1:1" ht="23.4" x14ac:dyDescent="0.45">
      <c r="A1" s="48" t="s">
        <v>454</v>
      </c>
    </row>
    <row r="3" spans="1:1" ht="18" x14ac:dyDescent="0.35">
      <c r="A3" s="89" t="s">
        <v>455</v>
      </c>
    </row>
    <row r="4" spans="1:1" ht="15.6" x14ac:dyDescent="0.3">
      <c r="A4" s="49" t="s">
        <v>456</v>
      </c>
    </row>
    <row r="5" spans="1:1" ht="15.6" x14ac:dyDescent="0.3">
      <c r="A5" s="49" t="s">
        <v>457</v>
      </c>
    </row>
    <row r="6" spans="1:1" ht="15.6" x14ac:dyDescent="0.3">
      <c r="A6" s="49" t="s">
        <v>458</v>
      </c>
    </row>
    <row r="8" spans="1:1" ht="18" x14ac:dyDescent="0.35">
      <c r="A8" s="89" t="s">
        <v>459</v>
      </c>
    </row>
    <row r="9" spans="1:1" ht="15.6" x14ac:dyDescent="0.3">
      <c r="A9" s="49" t="s">
        <v>460</v>
      </c>
    </row>
    <row r="10" spans="1:1" ht="15.6" x14ac:dyDescent="0.3">
      <c r="A10" s="49" t="s">
        <v>461</v>
      </c>
    </row>
    <row r="11" spans="1:1" ht="15.6" x14ac:dyDescent="0.3">
      <c r="A11" s="49" t="s">
        <v>462</v>
      </c>
    </row>
    <row r="12" spans="1:1" ht="15.6" x14ac:dyDescent="0.3">
      <c r="A12" s="49" t="s">
        <v>463</v>
      </c>
    </row>
    <row r="13" spans="1:1" ht="15.6" x14ac:dyDescent="0.3">
      <c r="A13" s="49" t="s">
        <v>464</v>
      </c>
    </row>
    <row r="14" spans="1:1" ht="15.6" x14ac:dyDescent="0.3">
      <c r="A14" s="49" t="s">
        <v>465</v>
      </c>
    </row>
    <row r="15" spans="1:1" ht="15.6" x14ac:dyDescent="0.3">
      <c r="A15" s="49" t="s">
        <v>466</v>
      </c>
    </row>
    <row r="17" spans="1:1" ht="18" x14ac:dyDescent="0.35">
      <c r="A17" s="89" t="s">
        <v>467</v>
      </c>
    </row>
    <row r="18" spans="1:1" ht="15.6" x14ac:dyDescent="0.3">
      <c r="A18" s="49" t="s">
        <v>468</v>
      </c>
    </row>
    <row r="19" spans="1:1" ht="15.6" x14ac:dyDescent="0.3">
      <c r="A19" s="49" t="s">
        <v>469</v>
      </c>
    </row>
    <row r="20" spans="1:1" ht="15.6" x14ac:dyDescent="0.3">
      <c r="A20" s="49" t="s">
        <v>470</v>
      </c>
    </row>
    <row r="21" spans="1:1" ht="15.6" x14ac:dyDescent="0.3">
      <c r="A21" s="49" t="s">
        <v>471</v>
      </c>
    </row>
    <row r="22" spans="1:1" ht="15.6" x14ac:dyDescent="0.3">
      <c r="A22" s="49" t="s">
        <v>472</v>
      </c>
    </row>
    <row r="23" spans="1:1" ht="15.6" x14ac:dyDescent="0.3">
      <c r="A23" s="49" t="s">
        <v>473</v>
      </c>
    </row>
    <row r="24" spans="1:1" ht="15.6" x14ac:dyDescent="0.3">
      <c r="A24" s="49" t="s">
        <v>474</v>
      </c>
    </row>
    <row r="25" spans="1:1" ht="15.6" x14ac:dyDescent="0.3">
      <c r="A25" s="49" t="s">
        <v>475</v>
      </c>
    </row>
    <row r="26" spans="1:1" ht="15.6" x14ac:dyDescent="0.3">
      <c r="A26" s="49" t="s">
        <v>476</v>
      </c>
    </row>
    <row r="27" spans="1:1" ht="15.6" x14ac:dyDescent="0.3">
      <c r="A27" s="49" t="s">
        <v>477</v>
      </c>
    </row>
    <row r="28" spans="1:1" ht="15.6" x14ac:dyDescent="0.3">
      <c r="A28" s="49" t="s">
        <v>478</v>
      </c>
    </row>
    <row r="29" spans="1:1" ht="15.6" x14ac:dyDescent="0.3">
      <c r="A29" s="49" t="s">
        <v>488</v>
      </c>
    </row>
    <row r="31" spans="1:1" ht="18" x14ac:dyDescent="0.35">
      <c r="A31" s="89" t="s">
        <v>479</v>
      </c>
    </row>
    <row r="32" spans="1:1" ht="15.6" x14ac:dyDescent="0.3">
      <c r="A32" s="49" t="s">
        <v>480</v>
      </c>
    </row>
    <row r="33" spans="1:1" ht="15.6" x14ac:dyDescent="0.3">
      <c r="A33" s="49" t="s">
        <v>481</v>
      </c>
    </row>
    <row r="34" spans="1:1" ht="15.6" x14ac:dyDescent="0.3">
      <c r="A34" s="49" t="s">
        <v>482</v>
      </c>
    </row>
    <row r="35" spans="1:1" ht="15.6" x14ac:dyDescent="0.3">
      <c r="A35" s="49" t="s">
        <v>483</v>
      </c>
    </row>
    <row r="36" spans="1:1" ht="15.6" x14ac:dyDescent="0.3">
      <c r="A36" s="49" t="s">
        <v>484</v>
      </c>
    </row>
    <row r="37" spans="1:1" ht="15.6" x14ac:dyDescent="0.3">
      <c r="A37" s="49" t="s">
        <v>489</v>
      </c>
    </row>
    <row r="38" spans="1:1" ht="15.6" x14ac:dyDescent="0.3">
      <c r="A38" s="49" t="s">
        <v>490</v>
      </c>
    </row>
    <row r="40" spans="1:1" ht="18" x14ac:dyDescent="0.35">
      <c r="A40" s="89" t="s">
        <v>491</v>
      </c>
    </row>
    <row r="41" spans="1:1" ht="15.6" x14ac:dyDescent="0.3">
      <c r="A41" s="49" t="s">
        <v>492</v>
      </c>
    </row>
    <row r="42" spans="1:1" ht="15.6" x14ac:dyDescent="0.3">
      <c r="A42" s="86" t="s">
        <v>493</v>
      </c>
    </row>
    <row r="43" spans="1:1" ht="15.6" x14ac:dyDescent="0.3">
      <c r="A43" s="87" t="s">
        <v>494</v>
      </c>
    </row>
    <row r="44" spans="1:1" ht="15.6" x14ac:dyDescent="0.3">
      <c r="A44" s="88" t="s">
        <v>495</v>
      </c>
    </row>
    <row r="46" spans="1:1" ht="15.6" x14ac:dyDescent="0.3">
      <c r="A46" s="49" t="s">
        <v>496</v>
      </c>
    </row>
    <row r="47" spans="1:1" ht="15.6" x14ac:dyDescent="0.3">
      <c r="A47" s="88" t="s">
        <v>497</v>
      </c>
    </row>
    <row r="48" spans="1:1" ht="15.6" x14ac:dyDescent="0.3">
      <c r="A48" s="87" t="s">
        <v>498</v>
      </c>
    </row>
    <row r="49" spans="1:1" ht="15.6" x14ac:dyDescent="0.3">
      <c r="A49" s="86" t="s">
        <v>499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71C52-4AF5-4EC9-AFB7-47E8804A1B8F}">
  <sheetPr codeName="Sheet1"/>
  <dimension ref="A1:N69"/>
  <sheetViews>
    <sheetView tabSelected="1" topLeftCell="C1" zoomScale="80" zoomScaleNormal="80" zoomScalePageLayoutView="85" workbookViewId="0">
      <pane ySplit="12" topLeftCell="A13" activePane="bottomLeft" state="frozen"/>
      <selection activeCell="C1" sqref="C1"/>
      <selection pane="bottomLeft" activeCell="C35" sqref="C35"/>
    </sheetView>
  </sheetViews>
  <sheetFormatPr defaultRowHeight="14.4" x14ac:dyDescent="0.3"/>
  <cols>
    <col min="1" max="1" width="23.5546875" style="16" hidden="1" customWidth="1"/>
    <col min="2" max="2" width="25.44140625" hidden="1" customWidth="1"/>
    <col min="3" max="3" width="20.109375" customWidth="1"/>
    <col min="4" max="4" width="29.109375" style="34" customWidth="1"/>
    <col min="5" max="5" width="23.44140625" style="34" customWidth="1"/>
    <col min="6" max="6" width="17.88671875" customWidth="1"/>
    <col min="7" max="7" width="21.44140625" customWidth="1"/>
    <col min="8" max="8" width="22.44140625" style="34" customWidth="1"/>
    <col min="9" max="9" width="21.44140625" customWidth="1"/>
    <col min="10" max="10" width="14" customWidth="1"/>
    <col min="11" max="11" width="19.109375" style="20" customWidth="1"/>
    <col min="12" max="12" width="13.109375" customWidth="1"/>
  </cols>
  <sheetData>
    <row r="1" spans="1:14" x14ac:dyDescent="0.3">
      <c r="A1" s="13"/>
      <c r="B1" s="1"/>
      <c r="C1" s="1"/>
      <c r="D1" s="27"/>
      <c r="E1" s="27"/>
      <c r="F1" s="1"/>
      <c r="G1" s="1"/>
      <c r="H1" s="27"/>
      <c r="I1" s="1"/>
      <c r="J1" s="1"/>
      <c r="K1" s="17"/>
    </row>
    <row r="2" spans="1:14" x14ac:dyDescent="0.3">
      <c r="A2" s="13"/>
      <c r="B2" s="1"/>
      <c r="C2" s="1"/>
      <c r="D2" s="27"/>
      <c r="E2" s="44" t="s">
        <v>391</v>
      </c>
      <c r="F2" s="26" t="s">
        <v>392</v>
      </c>
      <c r="G2" s="26" t="s">
        <v>393</v>
      </c>
      <c r="H2" s="27"/>
      <c r="I2" s="1"/>
      <c r="J2" s="1"/>
      <c r="K2" s="17"/>
    </row>
    <row r="3" spans="1:14" ht="28.2" customHeight="1" x14ac:dyDescent="0.3">
      <c r="A3" s="14"/>
      <c r="C3" s="92" t="s">
        <v>394</v>
      </c>
      <c r="D3" s="92"/>
      <c r="E3" s="45" t="s">
        <v>395</v>
      </c>
      <c r="F3" s="35" t="s">
        <v>396</v>
      </c>
      <c r="G3" s="37"/>
      <c r="H3" s="28"/>
      <c r="I3" s="21"/>
    </row>
    <row r="4" spans="1:14" ht="28.2" customHeight="1" x14ac:dyDescent="0.3">
      <c r="A4" s="14"/>
      <c r="B4" s="9"/>
      <c r="C4" s="9"/>
      <c r="D4" s="42"/>
      <c r="E4" s="45" t="s">
        <v>397</v>
      </c>
      <c r="F4" s="35" t="s">
        <v>398</v>
      </c>
      <c r="G4" s="37"/>
      <c r="H4" s="28"/>
      <c r="I4" s="21"/>
    </row>
    <row r="5" spans="1:14" ht="28.2" customHeight="1" x14ac:dyDescent="0.3">
      <c r="A5" s="14"/>
      <c r="B5" s="9"/>
      <c r="C5" s="9"/>
      <c r="D5" s="42"/>
      <c r="E5" s="45" t="s">
        <v>399</v>
      </c>
      <c r="F5" s="35">
        <v>35</v>
      </c>
      <c r="G5" s="37"/>
      <c r="H5" s="28"/>
      <c r="I5" s="21"/>
    </row>
    <row r="6" spans="1:14" ht="28.2" customHeight="1" x14ac:dyDescent="0.3">
      <c r="A6" s="14"/>
      <c r="B6" s="9"/>
      <c r="C6" s="9"/>
      <c r="D6" s="42"/>
      <c r="E6" s="45" t="s">
        <v>400</v>
      </c>
      <c r="F6" s="36">
        <f ca="1">TODAY()</f>
        <v>46154</v>
      </c>
      <c r="G6" s="38"/>
      <c r="H6" s="28"/>
      <c r="I6" s="21"/>
    </row>
    <row r="7" spans="1:14" s="24" customFormat="1" ht="27.9" customHeight="1" thickBot="1" x14ac:dyDescent="0.35">
      <c r="A7" s="15"/>
      <c r="B7" s="7"/>
      <c r="C7" s="7"/>
      <c r="D7" s="43"/>
      <c r="E7" s="45" t="s">
        <v>401</v>
      </c>
      <c r="F7" s="40">
        <v>46126</v>
      </c>
      <c r="G7" s="39"/>
      <c r="H7" s="29"/>
      <c r="I7" s="18"/>
      <c r="J7" s="25"/>
      <c r="K7" s="18"/>
      <c r="L7"/>
    </row>
    <row r="8" spans="1:14" ht="4.5" customHeight="1" x14ac:dyDescent="0.3">
      <c r="A8" s="5"/>
      <c r="B8" s="3"/>
      <c r="C8" s="3"/>
      <c r="D8" s="30"/>
      <c r="E8" s="30"/>
      <c r="F8" s="3"/>
      <c r="G8" s="3"/>
      <c r="H8" s="30"/>
      <c r="I8" s="3"/>
      <c r="J8" s="3"/>
      <c r="K8" s="19"/>
    </row>
    <row r="9" spans="1:14" x14ac:dyDescent="0.3">
      <c r="A9" s="5"/>
      <c r="B9" s="4" t="s">
        <v>402</v>
      </c>
      <c r="C9" s="90">
        <v>45658</v>
      </c>
      <c r="D9" s="90"/>
      <c r="E9" s="91"/>
      <c r="F9" s="3"/>
      <c r="G9" s="5" t="s">
        <v>403</v>
      </c>
      <c r="H9" s="31">
        <v>38</v>
      </c>
      <c r="I9" s="23"/>
      <c r="J9" s="2"/>
      <c r="K9" s="19"/>
    </row>
    <row r="10" spans="1:14" ht="4.5" customHeight="1" x14ac:dyDescent="0.3">
      <c r="A10" s="5"/>
      <c r="B10" s="3"/>
      <c r="C10" s="3"/>
      <c r="D10" s="30"/>
      <c r="E10" s="30"/>
      <c r="F10" s="3"/>
      <c r="G10" s="3"/>
      <c r="H10" s="30"/>
      <c r="I10" s="3"/>
      <c r="J10" s="3"/>
      <c r="K10" s="19"/>
    </row>
    <row r="11" spans="1:14" ht="31.5" customHeight="1" x14ac:dyDescent="0.3">
      <c r="A11" s="50" t="s">
        <v>395</v>
      </c>
      <c r="B11" s="50" t="s">
        <v>404</v>
      </c>
      <c r="C11" s="50" t="s">
        <v>0</v>
      </c>
      <c r="D11" s="51" t="s">
        <v>405</v>
      </c>
      <c r="E11" s="51" t="s">
        <v>406</v>
      </c>
      <c r="F11" s="50" t="s">
        <v>407</v>
      </c>
      <c r="G11" s="50" t="s">
        <v>408</v>
      </c>
      <c r="H11" s="51" t="s">
        <v>409</v>
      </c>
      <c r="I11" s="50" t="s">
        <v>410</v>
      </c>
      <c r="J11" s="50" t="s">
        <v>411</v>
      </c>
      <c r="K11" s="51" t="s">
        <v>412</v>
      </c>
      <c r="L11" s="51" t="s">
        <v>485</v>
      </c>
      <c r="M11" s="51" t="s">
        <v>446</v>
      </c>
      <c r="N11" s="51" t="s">
        <v>453</v>
      </c>
    </row>
    <row r="12" spans="1:14" x14ac:dyDescent="0.3">
      <c r="A12" s="52" t="str">
        <f>F3</f>
        <v>Kristin Bennett</v>
      </c>
      <c r="B12" s="52">
        <f>F5</f>
        <v>35</v>
      </c>
      <c r="C12" s="52"/>
      <c r="D12" s="53"/>
      <c r="E12" s="53"/>
      <c r="F12" s="54">
        <f>IF(MIN(F13:F13)&gt;0,MIN(F13:F13),"")</f>
        <v>50</v>
      </c>
      <c r="G12" s="54" t="str">
        <f>IF(MAX(G13:G13)&gt;0,MAX(G13:G13),"")</f>
        <v/>
      </c>
      <c r="H12" s="55">
        <f>SUM(H13:H13)</f>
        <v>0.2</v>
      </c>
      <c r="I12" s="54"/>
      <c r="J12" s="56">
        <f>IF(H12=0,"",K12/H12)</f>
        <v>0</v>
      </c>
      <c r="K12" s="57">
        <f>SUM(K13:K13)</f>
        <v>0</v>
      </c>
      <c r="L12" s="57" t="b">
        <f ca="1">IF(ProjectTable[[#This Row],[End Date]]=",",IF(ProjectTable[[#This Row],[Status]]="Complete","Done",MAX(0,ProjectTable[[#This Row],[End Date]]-TODAY())))</f>
        <v>0</v>
      </c>
      <c r="M12" s="57"/>
      <c r="N12" s="58"/>
    </row>
    <row r="13" spans="1:14" s="6" customFormat="1" x14ac:dyDescent="0.3">
      <c r="A13" s="59" t="s">
        <v>500</v>
      </c>
      <c r="B13" s="59" t="s">
        <v>501</v>
      </c>
      <c r="C13" s="60"/>
      <c r="D13" s="93">
        <v>46361</v>
      </c>
      <c r="E13" s="61" t="s">
        <v>502</v>
      </c>
      <c r="F13" s="62">
        <v>50</v>
      </c>
      <c r="G13" s="62" t="s">
        <v>413</v>
      </c>
      <c r="H13" s="63">
        <v>0.2</v>
      </c>
      <c r="I13" s="60">
        <v>10</v>
      </c>
      <c r="J13" s="60" t="s">
        <v>437</v>
      </c>
      <c r="K13" s="64"/>
      <c r="L13" s="64" t="b">
        <f ca="1">IF(ProjectTable[[#This Row],[End Date]]=",",IF(ProjectTable[[#This Row],[Status]]="Complete","Done",MAX(0,ProjectTable[[#This Row],[End Date]]-TODAY())))</f>
        <v>0</v>
      </c>
      <c r="M13" s="64"/>
      <c r="N13" s="65"/>
    </row>
    <row r="14" spans="1:14" x14ac:dyDescent="0.3">
      <c r="A14" s="66" t="str">
        <f>F3</f>
        <v>Kristin Bennett</v>
      </c>
      <c r="B14" s="66">
        <f>F5</f>
        <v>35</v>
      </c>
      <c r="C14" s="66" t="s">
        <v>247</v>
      </c>
      <c r="D14" s="67"/>
      <c r="E14" s="67"/>
      <c r="F14" s="68">
        <f>IF(MIN(F15:F18)&gt;0,MIN(F15:F18),"")</f>
        <v>45621</v>
      </c>
      <c r="G14" s="68">
        <f>IF(MAX(G15:G18)&gt;0,MAX(G15:G18),"")</f>
        <v>46843</v>
      </c>
      <c r="H14" s="69">
        <f>SUM(H15:H18)</f>
        <v>2391.5</v>
      </c>
      <c r="I14" s="66" t="s">
        <v>418</v>
      </c>
      <c r="J14" s="70">
        <v>1</v>
      </c>
      <c r="K14" s="71">
        <v>2391.5</v>
      </c>
      <c r="L14" s="71" t="str">
        <f ca="1">IF(ProjectTable[[#This Row],[End Date]]="","",IF(ProjectTable[[#This Row],[Status]]="Complete","Done",MAX(0,ProjectTable[[#This Row],[End Date]]-TODAY())))</f>
        <v>Done</v>
      </c>
      <c r="M14" s="71"/>
      <c r="N14" s="65"/>
    </row>
    <row r="15" spans="1:14" s="41" customFormat="1" x14ac:dyDescent="0.3">
      <c r="A15" s="72"/>
      <c r="B15" s="72"/>
      <c r="C15" s="72"/>
      <c r="D15" s="73" t="s">
        <v>414</v>
      </c>
      <c r="E15" s="73"/>
      <c r="F15" s="74">
        <v>45621</v>
      </c>
      <c r="G15" s="74">
        <v>46843</v>
      </c>
      <c r="H15" s="75">
        <f>174*35*0.35</f>
        <v>2131.5</v>
      </c>
      <c r="I15" s="72" t="s">
        <v>418</v>
      </c>
      <c r="J15" s="76">
        <v>1</v>
      </c>
      <c r="K15" s="65">
        <v>2131.5</v>
      </c>
      <c r="L15" s="71" t="str">
        <f ca="1">IF(ProjectTable[[#This Row],[End Date]]="","",IF(ProjectTable[[#This Row],[Status]]="Complete","Done",MAX(0,ProjectTable[[#This Row],[End Date]]-TODAY())))</f>
        <v>Done</v>
      </c>
      <c r="M15" s="71"/>
      <c r="N15" s="65"/>
    </row>
    <row r="16" spans="1:14" s="41" customFormat="1" x14ac:dyDescent="0.3">
      <c r="A16" s="72"/>
      <c r="B16" s="72"/>
      <c r="C16" s="72"/>
      <c r="D16" s="73" t="s">
        <v>415</v>
      </c>
      <c r="E16" s="73"/>
      <c r="F16" s="74">
        <v>45809</v>
      </c>
      <c r="G16" s="74">
        <v>46843</v>
      </c>
      <c r="H16" s="75">
        <v>100</v>
      </c>
      <c r="I16" s="72" t="s">
        <v>418</v>
      </c>
      <c r="J16" s="76">
        <v>1</v>
      </c>
      <c r="K16" s="65">
        <v>100</v>
      </c>
      <c r="L16" s="71" t="str">
        <f ca="1">IF(ProjectTable[[#This Row],[End Date]]="","",IF(ProjectTable[[#This Row],[Status]]="Complete","Done",MAX(0,ProjectTable[[#This Row],[End Date]]-TODAY())))</f>
        <v>Done</v>
      </c>
      <c r="M16" s="71"/>
      <c r="N16" s="65"/>
    </row>
    <row r="17" spans="1:14" x14ac:dyDescent="0.3">
      <c r="A17" s="72"/>
      <c r="B17" s="72"/>
      <c r="C17" s="72"/>
      <c r="D17" s="73" t="s">
        <v>416</v>
      </c>
      <c r="E17" s="73"/>
      <c r="F17" s="74">
        <v>45901</v>
      </c>
      <c r="G17" s="74">
        <v>46142</v>
      </c>
      <c r="H17" s="75">
        <v>60</v>
      </c>
      <c r="I17" s="72" t="s">
        <v>418</v>
      </c>
      <c r="J17" s="76">
        <v>1</v>
      </c>
      <c r="K17" s="65">
        <v>60</v>
      </c>
      <c r="L17" s="71" t="str">
        <f ca="1">IF(ProjectTable[[#This Row],[End Date]]="","",IF(ProjectTable[[#This Row],[Status]]="Complete","Done",MAX(0,ProjectTable[[#This Row],[End Date]]-TODAY())))</f>
        <v>Done</v>
      </c>
      <c r="M17" s="71"/>
      <c r="N17" s="65"/>
    </row>
    <row r="18" spans="1:14" s="41" customFormat="1" ht="28.8" x14ac:dyDescent="0.3">
      <c r="A18" s="72"/>
      <c r="B18" s="72"/>
      <c r="C18" s="72"/>
      <c r="D18" s="73" t="s">
        <v>417</v>
      </c>
      <c r="E18" s="73"/>
      <c r="F18" s="74">
        <v>45930</v>
      </c>
      <c r="G18" s="74">
        <v>46171</v>
      </c>
      <c r="H18" s="75">
        <v>100</v>
      </c>
      <c r="I18" s="72" t="s">
        <v>418</v>
      </c>
      <c r="J18" s="76">
        <v>1</v>
      </c>
      <c r="K18" s="65">
        <v>100</v>
      </c>
      <c r="L18" s="71" t="str">
        <f ca="1">IF(ProjectTable[[#This Row],[End Date]]="","",IF(ProjectTable[[#This Row],[Status]]="Complete","Done",MAX(0,ProjectTable[[#This Row],[End Date]]-TODAY())))</f>
        <v>Done</v>
      </c>
      <c r="M18" s="71"/>
      <c r="N18" s="65"/>
    </row>
    <row r="19" spans="1:14" s="41" customFormat="1" x14ac:dyDescent="0.3">
      <c r="A19" s="66" t="str">
        <f>F3</f>
        <v>Kristin Bennett</v>
      </c>
      <c r="B19" s="66">
        <f>F5</f>
        <v>35</v>
      </c>
      <c r="C19" s="66" t="s">
        <v>250</v>
      </c>
      <c r="D19" s="67"/>
      <c r="E19" s="67"/>
      <c r="F19" s="68">
        <f>IF(MIN(F20:F22)&gt;0,MIN(F20:F22),"")</f>
        <v>46023</v>
      </c>
      <c r="G19" s="68">
        <f>IF(MAX(G20:G22)&gt;0,MAX(G20:G22),"")</f>
        <v>46142</v>
      </c>
      <c r="H19" s="69">
        <f>SUM(H20:H22)</f>
        <v>120</v>
      </c>
      <c r="I19" s="66" t="s">
        <v>413</v>
      </c>
      <c r="J19" s="70">
        <f>IF(H19=0,"",K19/H19)</f>
        <v>1</v>
      </c>
      <c r="K19" s="71">
        <f>SUM(K20:K22)</f>
        <v>120</v>
      </c>
      <c r="L19" s="71">
        <f ca="1">IF(ProjectTable[[#This Row],[End Date]]="","",IF(ProjectTable[[#This Row],[Status]]="Complete","Done",MAX(0,ProjectTable[[#This Row],[End Date]]-TODAY())))</f>
        <v>0</v>
      </c>
      <c r="M19" s="71"/>
      <c r="N19" s="65"/>
    </row>
    <row r="20" spans="1:14" s="41" customFormat="1" x14ac:dyDescent="0.3">
      <c r="A20" s="72"/>
      <c r="B20" s="72"/>
      <c r="C20" s="72"/>
      <c r="D20" s="73" t="s">
        <v>419</v>
      </c>
      <c r="E20" s="73"/>
      <c r="F20" s="74">
        <v>46041</v>
      </c>
      <c r="G20" s="74">
        <v>46087</v>
      </c>
      <c r="H20" s="75">
        <v>40</v>
      </c>
      <c r="I20" s="72" t="s">
        <v>418</v>
      </c>
      <c r="J20" s="76">
        <v>1</v>
      </c>
      <c r="K20" s="65">
        <v>40</v>
      </c>
      <c r="L20" s="71" t="str">
        <f ca="1">IF(ProjectTable[[#This Row],[End Date]]="","",IF(ProjectTable[[#This Row],[Status]]="Complete","Done",MAX(0,ProjectTable[[#This Row],[End Date]]-TODAY())))</f>
        <v>Done</v>
      </c>
      <c r="M20" s="71"/>
      <c r="N20" s="65"/>
    </row>
    <row r="21" spans="1:14" s="41" customFormat="1" x14ac:dyDescent="0.3">
      <c r="A21" s="72"/>
      <c r="B21" s="72"/>
      <c r="C21" s="72"/>
      <c r="D21" s="73" t="s">
        <v>420</v>
      </c>
      <c r="E21" s="73"/>
      <c r="F21" s="74">
        <v>46080</v>
      </c>
      <c r="G21" s="74">
        <v>46108</v>
      </c>
      <c r="H21" s="75">
        <v>40</v>
      </c>
      <c r="I21" s="72" t="s">
        <v>418</v>
      </c>
      <c r="J21" s="76">
        <v>1</v>
      </c>
      <c r="K21" s="65">
        <v>40</v>
      </c>
      <c r="L21" s="71" t="str">
        <f ca="1">IF(ProjectTable[[#This Row],[End Date]]="","",IF(ProjectTable[[#This Row],[Status]]="Complete","Done",MAX(0,ProjectTable[[#This Row],[End Date]]-TODAY())))</f>
        <v>Done</v>
      </c>
      <c r="M21" s="71"/>
      <c r="N21" s="65"/>
    </row>
    <row r="22" spans="1:14" s="41" customFormat="1" x14ac:dyDescent="0.3">
      <c r="A22" s="72"/>
      <c r="B22" s="72"/>
      <c r="C22" s="72"/>
      <c r="D22" s="73" t="s">
        <v>422</v>
      </c>
      <c r="E22" s="73"/>
      <c r="F22" s="74">
        <v>46023</v>
      </c>
      <c r="G22" s="74">
        <v>46142</v>
      </c>
      <c r="H22" s="75">
        <v>40</v>
      </c>
      <c r="I22" s="72" t="s">
        <v>418</v>
      </c>
      <c r="J22" s="76">
        <v>1</v>
      </c>
      <c r="K22" s="65">
        <v>40</v>
      </c>
      <c r="L22" s="71" t="str">
        <f ca="1">IF(ProjectTable[[#This Row],[End Date]]="","",IF(ProjectTable[[#This Row],[Status]]="Complete","Done",MAX(0,ProjectTable[[#This Row],[End Date]]-TODAY())))</f>
        <v>Done</v>
      </c>
      <c r="M22" s="71"/>
      <c r="N22" s="65"/>
    </row>
    <row r="23" spans="1:14" s="41" customFormat="1" x14ac:dyDescent="0.3">
      <c r="A23" s="66" t="str">
        <f>F3</f>
        <v>Kristin Bennett</v>
      </c>
      <c r="B23" s="66">
        <f>F5</f>
        <v>35</v>
      </c>
      <c r="C23" s="66" t="s">
        <v>346</v>
      </c>
      <c r="D23" s="67"/>
      <c r="E23" s="67"/>
      <c r="F23" s="68">
        <f>IF(MIN(F24:F27)&gt;0,MIN(F24:F27),"")</f>
        <v>45962</v>
      </c>
      <c r="G23" s="68">
        <f>IF(MAX(G24:G27)&gt;0,MAX(G24:G27),"")</f>
        <v>46142</v>
      </c>
      <c r="H23" s="69">
        <f>SUM(H24:H27)</f>
        <v>60</v>
      </c>
      <c r="I23" s="66" t="s">
        <v>418</v>
      </c>
      <c r="J23" s="70">
        <v>1</v>
      </c>
      <c r="K23" s="71">
        <v>60</v>
      </c>
      <c r="L23" s="71" t="str">
        <f ca="1">IF(ProjectTable[[#This Row],[End Date]]="","",IF(ProjectTable[[#This Row],[Status]]="Complete","Done",MAX(0,ProjectTable[[#This Row],[End Date]]-TODAY())))</f>
        <v>Done</v>
      </c>
      <c r="M23" s="71"/>
      <c r="N23" s="65"/>
    </row>
    <row r="24" spans="1:14" x14ac:dyDescent="0.3">
      <c r="A24" s="72"/>
      <c r="B24" s="72"/>
      <c r="C24" s="72"/>
      <c r="D24" s="73" t="s">
        <v>425</v>
      </c>
      <c r="E24" s="73"/>
      <c r="F24" s="74">
        <v>45962</v>
      </c>
      <c r="G24" s="74">
        <v>46142</v>
      </c>
      <c r="H24" s="75">
        <v>10</v>
      </c>
      <c r="I24" s="72" t="s">
        <v>418</v>
      </c>
      <c r="J24" s="76">
        <v>1</v>
      </c>
      <c r="K24" s="65">
        <v>10</v>
      </c>
      <c r="L24" s="71" t="str">
        <f ca="1">IF(ProjectTable[[#This Row],[End Date]]="","",IF(ProjectTable[[#This Row],[Status]]="Complete","Done",MAX(0,ProjectTable[[#This Row],[End Date]]-TODAY())))</f>
        <v>Done</v>
      </c>
      <c r="M24" s="71"/>
      <c r="N24" s="65"/>
    </row>
    <row r="25" spans="1:14" x14ac:dyDescent="0.3">
      <c r="A25" s="72"/>
      <c r="B25" s="72"/>
      <c r="C25" s="72"/>
      <c r="D25" s="73" t="s">
        <v>423</v>
      </c>
      <c r="E25" s="73"/>
      <c r="F25" s="74">
        <v>46027</v>
      </c>
      <c r="G25" s="74">
        <v>46059</v>
      </c>
      <c r="H25" s="75">
        <v>20</v>
      </c>
      <c r="I25" s="72" t="s">
        <v>418</v>
      </c>
      <c r="J25" s="76">
        <v>1</v>
      </c>
      <c r="K25" s="65">
        <v>20</v>
      </c>
      <c r="L25" s="71" t="str">
        <f ca="1">IF(ProjectTable[[#This Row],[End Date]]="","",IF(ProjectTable[[#This Row],[Status]]="Complete","Done",MAX(0,ProjectTable[[#This Row],[End Date]]-TODAY())))</f>
        <v>Done</v>
      </c>
      <c r="M25" s="71"/>
      <c r="N25" s="65"/>
    </row>
    <row r="26" spans="1:14" x14ac:dyDescent="0.3">
      <c r="A26" s="72"/>
      <c r="B26" s="72"/>
      <c r="C26" s="72"/>
      <c r="D26" s="73" t="s">
        <v>424</v>
      </c>
      <c r="E26" s="73"/>
      <c r="F26" s="74">
        <v>46069</v>
      </c>
      <c r="G26" s="74">
        <v>46108</v>
      </c>
      <c r="H26" s="75">
        <v>20</v>
      </c>
      <c r="I26" s="72" t="s">
        <v>418</v>
      </c>
      <c r="J26" s="76">
        <v>1</v>
      </c>
      <c r="K26" s="65">
        <v>20</v>
      </c>
      <c r="L26" s="71" t="str">
        <f ca="1">IF(ProjectTable[[#This Row],[End Date]]="","",IF(ProjectTable[[#This Row],[Status]]="Complete","Done",MAX(0,ProjectTable[[#This Row],[End Date]]-TODAY())))</f>
        <v>Done</v>
      </c>
      <c r="M26" s="71"/>
      <c r="N26" s="65"/>
    </row>
    <row r="27" spans="1:14" x14ac:dyDescent="0.3">
      <c r="A27" s="72"/>
      <c r="B27" s="72"/>
      <c r="C27" s="72"/>
      <c r="D27" s="73" t="s">
        <v>426</v>
      </c>
      <c r="E27" s="73"/>
      <c r="F27" s="74">
        <v>46111</v>
      </c>
      <c r="G27" s="74">
        <v>46115</v>
      </c>
      <c r="H27" s="75">
        <v>10</v>
      </c>
      <c r="I27" s="72" t="s">
        <v>418</v>
      </c>
      <c r="J27" s="76">
        <v>1</v>
      </c>
      <c r="K27" s="65">
        <v>10</v>
      </c>
      <c r="L27" s="71" t="str">
        <f ca="1">IF(ProjectTable[[#This Row],[End Date]]="","",IF(ProjectTable[[#This Row],[Status]]="Complete","Done",MAX(0,ProjectTable[[#This Row],[End Date]]-TODAY())))</f>
        <v>Done</v>
      </c>
      <c r="M27" s="71"/>
      <c r="N27" s="65"/>
    </row>
    <row r="28" spans="1:14" x14ac:dyDescent="0.3">
      <c r="A28" s="66" t="str">
        <f>F3</f>
        <v>Kristin Bennett</v>
      </c>
      <c r="B28" s="66">
        <f>F5</f>
        <v>35</v>
      </c>
      <c r="C28" s="66" t="s">
        <v>279</v>
      </c>
      <c r="D28" s="67"/>
      <c r="E28" s="67"/>
      <c r="F28" s="68">
        <f>IF(MIN(F29:F31)&gt;0,MIN(F29:F31),"")</f>
        <v>46069</v>
      </c>
      <c r="G28" s="68">
        <f>IF(MAX(G29:G31)&gt;0,MAX(G29:G31),"")</f>
        <v>46203</v>
      </c>
      <c r="H28" s="69">
        <f>SUM(H29:H31)</f>
        <v>130</v>
      </c>
      <c r="I28" s="66" t="s">
        <v>418</v>
      </c>
      <c r="J28" s="70">
        <v>1</v>
      </c>
      <c r="K28" s="71">
        <v>130</v>
      </c>
      <c r="L28" s="71" t="str">
        <f ca="1">IF(ProjectTable[[#This Row],[End Date]]="","",IF(ProjectTable[[#This Row],[Status]]="Complete","Done",MAX(0,ProjectTable[[#This Row],[End Date]]-TODAY())))</f>
        <v>Done</v>
      </c>
      <c r="M28" s="71"/>
      <c r="N28" s="65"/>
    </row>
    <row r="29" spans="1:14" s="41" customFormat="1" x14ac:dyDescent="0.3">
      <c r="A29" s="72"/>
      <c r="B29" s="72"/>
      <c r="C29" s="72"/>
      <c r="D29" s="73" t="s">
        <v>427</v>
      </c>
      <c r="E29" s="73"/>
      <c r="F29" s="74">
        <v>46069</v>
      </c>
      <c r="G29" s="74">
        <v>46128</v>
      </c>
      <c r="H29" s="75">
        <v>40</v>
      </c>
      <c r="I29" s="72" t="s">
        <v>418</v>
      </c>
      <c r="J29" s="76">
        <v>1</v>
      </c>
      <c r="K29" s="65">
        <v>40</v>
      </c>
      <c r="L29" s="71" t="str">
        <f ca="1">IF(ProjectTable[[#This Row],[End Date]]="","",IF(ProjectTable[[#This Row],[Status]]="Complete","Done",MAX(0,ProjectTable[[#This Row],[End Date]]-TODAY())))</f>
        <v>Done</v>
      </c>
      <c r="M29" s="71"/>
      <c r="N29" s="65"/>
    </row>
    <row r="30" spans="1:14" s="41" customFormat="1" x14ac:dyDescent="0.3">
      <c r="A30" s="72"/>
      <c r="B30" s="72"/>
      <c r="C30" s="72"/>
      <c r="D30" s="73" t="s">
        <v>428</v>
      </c>
      <c r="E30" s="73"/>
      <c r="F30" s="74">
        <v>46132</v>
      </c>
      <c r="G30" s="74">
        <v>46174</v>
      </c>
      <c r="H30" s="75">
        <v>60</v>
      </c>
      <c r="I30" s="72" t="s">
        <v>418</v>
      </c>
      <c r="J30" s="76">
        <v>1</v>
      </c>
      <c r="K30" s="65">
        <v>60</v>
      </c>
      <c r="L30" s="71" t="str">
        <f ca="1">IF(ProjectTable[[#This Row],[End Date]]="","",IF(ProjectTable[[#This Row],[Status]]="Complete","Done",MAX(0,ProjectTable[[#This Row],[End Date]]-TODAY())))</f>
        <v>Done</v>
      </c>
      <c r="M30" s="71"/>
      <c r="N30" s="65"/>
    </row>
    <row r="31" spans="1:14" s="41" customFormat="1" x14ac:dyDescent="0.3">
      <c r="A31" s="72"/>
      <c r="B31" s="72"/>
      <c r="C31" s="72"/>
      <c r="D31" s="73" t="s">
        <v>429</v>
      </c>
      <c r="E31" s="73"/>
      <c r="F31" s="74">
        <v>46174</v>
      </c>
      <c r="G31" s="74">
        <v>46203</v>
      </c>
      <c r="H31" s="75">
        <v>30</v>
      </c>
      <c r="I31" s="72" t="s">
        <v>418</v>
      </c>
      <c r="J31" s="76">
        <v>1</v>
      </c>
      <c r="K31" s="65">
        <v>30</v>
      </c>
      <c r="L31" s="71" t="str">
        <f ca="1">IF(ProjectTable[[#This Row],[End Date]]="","",IF(ProjectTable[[#This Row],[Status]]="Complete","Done",MAX(0,ProjectTable[[#This Row],[End Date]]-TODAY())))</f>
        <v>Done</v>
      </c>
      <c r="M31" s="71"/>
      <c r="N31" s="65"/>
    </row>
    <row r="32" spans="1:14" x14ac:dyDescent="0.3">
      <c r="A32" s="72"/>
      <c r="B32" s="72"/>
      <c r="C32" s="72"/>
      <c r="D32" s="73" t="s">
        <v>425</v>
      </c>
      <c r="E32" s="73"/>
      <c r="F32" s="74">
        <v>46125</v>
      </c>
      <c r="G32" s="74">
        <v>46388</v>
      </c>
      <c r="H32" s="75">
        <v>10</v>
      </c>
      <c r="I32" s="72" t="s">
        <v>418</v>
      </c>
      <c r="J32" s="76">
        <v>1</v>
      </c>
      <c r="K32" s="65">
        <v>10</v>
      </c>
      <c r="L32" s="71" t="str">
        <f ca="1">IF(ProjectTable[[#This Row],[End Date]]="","",IF(ProjectTable[[#This Row],[Status]]="Complete","Done",MAX(0,ProjectTable[[#This Row],[End Date]]-TODAY())))</f>
        <v>Done</v>
      </c>
      <c r="M32" s="71"/>
      <c r="N32" s="65"/>
    </row>
    <row r="33" spans="1:14" x14ac:dyDescent="0.3">
      <c r="A33" s="66" t="str">
        <f>F3</f>
        <v>Kristin Bennett</v>
      </c>
      <c r="B33" s="66">
        <f>F5</f>
        <v>35</v>
      </c>
      <c r="C33" s="66" t="s">
        <v>361</v>
      </c>
      <c r="D33" s="67"/>
      <c r="E33" s="67"/>
      <c r="F33" s="68">
        <f>IF(MIN(F34:F34)&gt;0,MIN(F34:F34),"")</f>
        <v>46023</v>
      </c>
      <c r="G33" s="68">
        <f>IF(MAX(G34:G34)&gt;0,MAX(G34:G34),"")</f>
        <v>46203</v>
      </c>
      <c r="H33" s="69">
        <f>SUM(H34:H34)</f>
        <v>10</v>
      </c>
      <c r="I33" s="66" t="s">
        <v>418</v>
      </c>
      <c r="J33" s="70">
        <f>IF(H33=0,"",K33/H33)</f>
        <v>1</v>
      </c>
      <c r="K33" s="71">
        <f>SUM(K34:K34)</f>
        <v>10</v>
      </c>
      <c r="L33" s="71" t="str">
        <f ca="1">IF(ProjectTable[[#This Row],[End Date]]="","",IF(ProjectTable[[#This Row],[Status]]="Complete","Done",MAX(0,ProjectTable[[#This Row],[End Date]]-TODAY())))</f>
        <v>Done</v>
      </c>
      <c r="M33" s="71"/>
      <c r="N33" s="65"/>
    </row>
    <row r="34" spans="1:14" x14ac:dyDescent="0.3">
      <c r="A34" s="72"/>
      <c r="B34" s="72"/>
      <c r="C34" s="72"/>
      <c r="D34" s="73" t="s">
        <v>425</v>
      </c>
      <c r="E34" s="73"/>
      <c r="F34" s="74">
        <v>46023</v>
      </c>
      <c r="G34" s="74">
        <v>46203</v>
      </c>
      <c r="H34" s="75">
        <v>10</v>
      </c>
      <c r="I34" s="72" t="s">
        <v>418</v>
      </c>
      <c r="J34" s="76">
        <v>1</v>
      </c>
      <c r="K34" s="65">
        <v>10</v>
      </c>
      <c r="L34" s="71" t="str">
        <f ca="1">IF(ProjectTable[[#This Row],[End Date]]="","",IF(ProjectTable[[#This Row],[Status]]="Complete","Done",MAX(0,ProjectTable[[#This Row],[End Date]]-TODAY())))</f>
        <v>Done</v>
      </c>
      <c r="M34" s="71"/>
      <c r="N34" s="65"/>
    </row>
    <row r="35" spans="1:14" s="41" customFormat="1" x14ac:dyDescent="0.3">
      <c r="A35" s="66" t="str">
        <f>F3</f>
        <v>Kristin Bennett</v>
      </c>
      <c r="B35" s="66">
        <f>F5</f>
        <v>35</v>
      </c>
      <c r="C35" s="66" t="s">
        <v>380</v>
      </c>
      <c r="D35" s="67"/>
      <c r="E35" s="67"/>
      <c r="F35" s="77">
        <f>IF(MIN(F36:F36)&gt;0,MIN(F36:F36),"")</f>
        <v>46128</v>
      </c>
      <c r="G35" s="66" t="str">
        <f>IF(MAX(G36:G36)&gt;0,MAX(G36:G36),"")</f>
        <v/>
      </c>
      <c r="H35" s="67">
        <f>SUM(H36:H36)</f>
        <v>0</v>
      </c>
      <c r="I35" s="66" t="s">
        <v>418</v>
      </c>
      <c r="J35" s="70">
        <v>1</v>
      </c>
      <c r="K35" s="71">
        <v>0</v>
      </c>
      <c r="L35" s="71" t="str">
        <f ca="1">IF(ProjectTable[[#This Row],[End Date]]="","",IF(ProjectTable[[#This Row],[Status]]="Complete","Done",MAX(0,ProjectTable[[#This Row],[End Date]]-TODAY())))</f>
        <v/>
      </c>
      <c r="M35" s="71"/>
      <c r="N35" s="65"/>
    </row>
    <row r="36" spans="1:14" s="41" customFormat="1" x14ac:dyDescent="0.3">
      <c r="A36" s="72"/>
      <c r="B36" s="72"/>
      <c r="C36" s="72"/>
      <c r="D36" s="73" t="s">
        <v>425</v>
      </c>
      <c r="E36" s="73" t="s">
        <v>431</v>
      </c>
      <c r="F36" s="78">
        <v>46128</v>
      </c>
      <c r="G36" s="72"/>
      <c r="H36" s="73" t="s">
        <v>432</v>
      </c>
      <c r="I36" s="72" t="s">
        <v>418</v>
      </c>
      <c r="J36" s="76">
        <v>1</v>
      </c>
      <c r="K36" s="65" t="s">
        <v>432</v>
      </c>
      <c r="L36" s="71" t="str">
        <f ca="1">IF(ProjectTable[[#This Row],[End Date]]="","",IF(ProjectTable[[#This Row],[Status]]="Complete","Done",MAX(0,ProjectTable[[#This Row],[End Date]]-TODAY())))</f>
        <v/>
      </c>
      <c r="M36" s="71"/>
      <c r="N36" s="65"/>
    </row>
    <row r="37" spans="1:14" x14ac:dyDescent="0.3">
      <c r="A37" s="66" t="str">
        <f>F3</f>
        <v>Kristin Bennett</v>
      </c>
      <c r="B37" s="66">
        <f>F5</f>
        <v>35</v>
      </c>
      <c r="C37" s="66" t="s">
        <v>381</v>
      </c>
      <c r="D37" s="67"/>
      <c r="E37" s="67"/>
      <c r="F37" s="77">
        <f>IF(MIN(F38:F38)&gt;0,MIN(F38:F38),"")</f>
        <v>46127</v>
      </c>
      <c r="G37" s="66" t="str">
        <f>IF(MAX(G38:G38)&gt;0,MAX(G38:G38),"")</f>
        <v/>
      </c>
      <c r="H37" s="67">
        <f>SUM(H38:H38)</f>
        <v>0</v>
      </c>
      <c r="I37" s="66" t="s">
        <v>430</v>
      </c>
      <c r="J37" s="70" t="str">
        <f>IF(H37=0,"",K37/H37)</f>
        <v/>
      </c>
      <c r="K37" s="71">
        <f>SUM(K38:K38)</f>
        <v>0</v>
      </c>
      <c r="L37" s="71" t="str">
        <f ca="1">IF(ProjectTable[[#This Row],[End Date]]="","",IF(ProjectTable[[#This Row],[Status]]="Complete","Done",MAX(0,ProjectTable[[#This Row],[End Date]]-TODAY())))</f>
        <v/>
      </c>
      <c r="M37" s="71"/>
      <c r="N37" s="65"/>
    </row>
    <row r="38" spans="1:14" x14ac:dyDescent="0.3">
      <c r="A38" s="72"/>
      <c r="B38" s="72"/>
      <c r="C38" s="72"/>
      <c r="D38" s="73" t="s">
        <v>425</v>
      </c>
      <c r="E38" s="73" t="s">
        <v>431</v>
      </c>
      <c r="F38" s="78">
        <v>46127</v>
      </c>
      <c r="G38" s="72"/>
      <c r="H38" s="73" t="s">
        <v>432</v>
      </c>
      <c r="I38" s="72" t="s">
        <v>418</v>
      </c>
      <c r="J38" s="76">
        <v>1</v>
      </c>
      <c r="K38" s="65" t="s">
        <v>432</v>
      </c>
      <c r="L38" s="71" t="str">
        <f ca="1">IF(ProjectTable[[#This Row],[End Date]]="","",IF(ProjectTable[[#This Row],[Status]]="Complete","Done",MAX(0,ProjectTable[[#This Row],[End Date]]-TODAY())))</f>
        <v/>
      </c>
      <c r="M38" s="71"/>
      <c r="N38" s="65"/>
    </row>
    <row r="39" spans="1:14" s="41" customFormat="1" x14ac:dyDescent="0.3">
      <c r="A39" s="66" t="str">
        <f>F3</f>
        <v>Kristin Bennett</v>
      </c>
      <c r="B39" s="66">
        <f>F5</f>
        <v>35</v>
      </c>
      <c r="C39" s="66" t="s">
        <v>384</v>
      </c>
      <c r="D39" s="67"/>
      <c r="E39" s="67"/>
      <c r="F39" s="77">
        <f>IF(MIN(F40:F40)&gt;0,MIN(F40:F40),"")</f>
        <v>46125</v>
      </c>
      <c r="G39" s="66" t="str">
        <f>IF(MAX(G40:G40)&gt;0,MAX(G40:G40),"")</f>
        <v/>
      </c>
      <c r="H39" s="67">
        <f>SUM(H40:H40)</f>
        <v>0</v>
      </c>
      <c r="I39" s="66" t="s">
        <v>430</v>
      </c>
      <c r="J39" s="70" t="str">
        <f>IF(H39=0,"",K39/H39)</f>
        <v/>
      </c>
      <c r="K39" s="71">
        <f>SUM(K40:K40)</f>
        <v>0</v>
      </c>
      <c r="L39" s="71" t="str">
        <f ca="1">IF(ProjectTable[[#This Row],[End Date]]="","",IF(ProjectTable[[#This Row],[Status]]="Complete","Done",MAX(0,ProjectTable[[#This Row],[End Date]]-TODAY())))</f>
        <v/>
      </c>
      <c r="M39" s="71"/>
      <c r="N39" s="65"/>
    </row>
    <row r="40" spans="1:14" s="41" customFormat="1" ht="43.2" x14ac:dyDescent="0.3">
      <c r="A40" s="72"/>
      <c r="B40" s="72"/>
      <c r="C40" s="72"/>
      <c r="D40" s="73" t="s">
        <v>425</v>
      </c>
      <c r="E40" s="73" t="s">
        <v>433</v>
      </c>
      <c r="F40" s="78">
        <v>46125</v>
      </c>
      <c r="G40" s="72"/>
      <c r="H40" s="73" t="s">
        <v>432</v>
      </c>
      <c r="I40" s="72" t="s">
        <v>418</v>
      </c>
      <c r="J40" s="76">
        <v>1</v>
      </c>
      <c r="K40" s="65" t="s">
        <v>432</v>
      </c>
      <c r="L40" s="71" t="str">
        <f ca="1">IF(ProjectTable[[#This Row],[End Date]]="","",IF(ProjectTable[[#This Row],[Status]]="Complete","Done",MAX(0,ProjectTable[[#This Row],[End Date]]-TODAY())))</f>
        <v/>
      </c>
      <c r="M40" s="71"/>
      <c r="N40" s="65"/>
    </row>
    <row r="41" spans="1:14" s="41" customFormat="1" x14ac:dyDescent="0.3">
      <c r="A41" s="66" t="str">
        <f>F3</f>
        <v>Kristin Bennett</v>
      </c>
      <c r="B41" s="66">
        <f>F5</f>
        <v>35</v>
      </c>
      <c r="C41" s="66" t="s">
        <v>382</v>
      </c>
      <c r="D41" s="67"/>
      <c r="E41" s="67"/>
      <c r="F41" s="77" t="str">
        <f>IF(MIN(F42:F42)&gt;0,MIN(F42:F42),"")</f>
        <v/>
      </c>
      <c r="G41" s="66" t="str">
        <f>IF(MAX(G42:G42)&gt;0,MAX(G42:G42),"")</f>
        <v/>
      </c>
      <c r="H41" s="67">
        <f>SUM(H42:H42)</f>
        <v>0</v>
      </c>
      <c r="I41" s="66" t="s">
        <v>430</v>
      </c>
      <c r="J41" s="70" t="str">
        <f>IF(H41=0,"",K41/H41)</f>
        <v/>
      </c>
      <c r="K41" s="71">
        <f>SUM(K42:K42)</f>
        <v>0</v>
      </c>
      <c r="L41" s="71" t="str">
        <f ca="1">IF(ProjectTable[[#This Row],[End Date]]="","",IF(ProjectTable[[#This Row],[Status]]="Complete","Done",MAX(0,ProjectTable[[#This Row],[End Date]]-TODAY())))</f>
        <v/>
      </c>
      <c r="M41" s="71"/>
      <c r="N41" s="65"/>
    </row>
    <row r="42" spans="1:14" x14ac:dyDescent="0.3">
      <c r="A42" s="72"/>
      <c r="B42" s="72"/>
      <c r="C42" s="72"/>
      <c r="D42" s="73" t="s">
        <v>425</v>
      </c>
      <c r="E42" s="73"/>
      <c r="F42" s="78"/>
      <c r="G42" s="72"/>
      <c r="H42" s="73" t="s">
        <v>432</v>
      </c>
      <c r="I42" s="72" t="s">
        <v>418</v>
      </c>
      <c r="J42" s="76">
        <v>1</v>
      </c>
      <c r="K42" s="65" t="s">
        <v>432</v>
      </c>
      <c r="L42" s="71" t="str">
        <f ca="1">IF(ProjectTable[[#This Row],[End Date]]="","",IF(ProjectTable[[#This Row],[Status]]="Complete","Done",MAX(0,ProjectTable[[#This Row],[End Date]]-TODAY())))</f>
        <v/>
      </c>
      <c r="M42" s="71"/>
      <c r="N42" s="65"/>
    </row>
    <row r="43" spans="1:14" s="41" customFormat="1" x14ac:dyDescent="0.3">
      <c r="A43" s="66" t="str">
        <f>F3</f>
        <v>Kristin Bennett</v>
      </c>
      <c r="B43" s="66">
        <f>F5</f>
        <v>35</v>
      </c>
      <c r="C43" s="66" t="s">
        <v>434</v>
      </c>
      <c r="D43" s="67"/>
      <c r="E43" s="67"/>
      <c r="F43" s="77" t="str">
        <f>IF(MIN(F44:F44)&gt;0,MIN(F44:F44),"")</f>
        <v/>
      </c>
      <c r="G43" s="66" t="str">
        <f>IF(MAX(G44:G44)&gt;0,MAX(G44:G44),"")</f>
        <v/>
      </c>
      <c r="H43" s="67">
        <f>SUM(H44:H44)</f>
        <v>0</v>
      </c>
      <c r="I43" s="66" t="s">
        <v>430</v>
      </c>
      <c r="J43" s="70" t="str">
        <f>IF(H43=0,"",K43/H43)</f>
        <v/>
      </c>
      <c r="K43" s="71">
        <f>SUM(K44:K44)</f>
        <v>0</v>
      </c>
      <c r="L43" s="71" t="str">
        <f ca="1">IF(ProjectTable[[#This Row],[End Date]]="","",IF(ProjectTable[[#This Row],[Status]]="Complete","Done",MAX(0,ProjectTable[[#This Row],[End Date]]-TODAY())))</f>
        <v/>
      </c>
      <c r="M43" s="71"/>
      <c r="N43" s="65"/>
    </row>
    <row r="44" spans="1:14" s="41" customFormat="1" x14ac:dyDescent="0.3">
      <c r="A44" s="72"/>
      <c r="B44" s="72"/>
      <c r="C44" s="72"/>
      <c r="D44" s="73" t="s">
        <v>435</v>
      </c>
      <c r="E44" s="73"/>
      <c r="F44" s="78"/>
      <c r="G44" s="72"/>
      <c r="H44" s="73" t="s">
        <v>432</v>
      </c>
      <c r="I44" s="72" t="s">
        <v>418</v>
      </c>
      <c r="J44" s="76">
        <v>1</v>
      </c>
      <c r="K44" s="65" t="s">
        <v>432</v>
      </c>
      <c r="L44" s="71" t="str">
        <f ca="1">IF(ProjectTable[[#This Row],[End Date]]="","",IF(ProjectTable[[#This Row],[Status]]="Complete","Done",MAX(0,ProjectTable[[#This Row],[End Date]]-TODAY())))</f>
        <v/>
      </c>
      <c r="M44" s="71"/>
      <c r="N44" s="65"/>
    </row>
    <row r="45" spans="1:14" s="41" customFormat="1" x14ac:dyDescent="0.3">
      <c r="A45" s="66" t="str">
        <f>F3</f>
        <v>Kristin Bennett</v>
      </c>
      <c r="B45" s="66">
        <f>F5</f>
        <v>35</v>
      </c>
      <c r="C45" s="66" t="s">
        <v>434</v>
      </c>
      <c r="D45" s="67"/>
      <c r="E45" s="67"/>
      <c r="F45" s="77" t="str">
        <f>IF(MIN(F46:F47)&gt;0,MIN(F46:F47),"")</f>
        <v/>
      </c>
      <c r="G45" s="66" t="str">
        <f>IF(MAX(G46:G47)&gt;0,MAX(G46:G47),"")</f>
        <v/>
      </c>
      <c r="H45" s="67">
        <f>SUM(H46:H47)</f>
        <v>0</v>
      </c>
      <c r="I45" s="66" t="s">
        <v>430</v>
      </c>
      <c r="J45" s="70" t="str">
        <f>IF(H45=0,"",K45/H45)</f>
        <v/>
      </c>
      <c r="K45" s="71">
        <f>SUM(K46:K47)</f>
        <v>0</v>
      </c>
      <c r="L45" s="71" t="str">
        <f ca="1">IF(ProjectTable[[#This Row],[End Date]]="","",IF(ProjectTable[[#This Row],[Status]]="Complete","Done",MAX(0,ProjectTable[[#This Row],[End Date]]-TODAY())))</f>
        <v/>
      </c>
      <c r="M45" s="71"/>
      <c r="N45" s="65"/>
    </row>
    <row r="46" spans="1:14" s="41" customFormat="1" x14ac:dyDescent="0.3">
      <c r="A46" s="72"/>
      <c r="B46" s="72"/>
      <c r="C46" s="72"/>
      <c r="D46" s="73" t="s">
        <v>435</v>
      </c>
      <c r="E46" s="73"/>
      <c r="F46" s="78"/>
      <c r="G46" s="72"/>
      <c r="H46" s="73" t="s">
        <v>432</v>
      </c>
      <c r="I46" s="72" t="s">
        <v>418</v>
      </c>
      <c r="J46" s="76">
        <v>1</v>
      </c>
      <c r="K46" s="65" t="s">
        <v>432</v>
      </c>
      <c r="L46" s="71" t="str">
        <f ca="1">IF(ProjectTable[[#This Row],[End Date]]="","",IF(ProjectTable[[#This Row],[Status]]="Complete","Done",MAX(0,ProjectTable[[#This Row],[End Date]]-TODAY())))</f>
        <v/>
      </c>
      <c r="M46" s="71"/>
      <c r="N46" s="65"/>
    </row>
    <row r="47" spans="1:14" x14ac:dyDescent="0.3">
      <c r="A47" s="72"/>
      <c r="B47" s="72"/>
      <c r="C47" s="72"/>
      <c r="D47" s="73" t="s">
        <v>435</v>
      </c>
      <c r="E47" s="73"/>
      <c r="F47" s="78"/>
      <c r="G47" s="72"/>
      <c r="H47" s="73" t="s">
        <v>432</v>
      </c>
      <c r="I47" s="72" t="s">
        <v>418</v>
      </c>
      <c r="J47" s="76">
        <v>1</v>
      </c>
      <c r="K47" s="65" t="s">
        <v>432</v>
      </c>
      <c r="L47" s="71" t="str">
        <f ca="1">IF(ProjectTable[[#This Row],[End Date]]="","",IF(ProjectTable[[#This Row],[Status]]="Complete","Done",MAX(0,ProjectTable[[#This Row],[End Date]]-TODAY())))</f>
        <v/>
      </c>
      <c r="M47" s="71"/>
      <c r="N47" s="65"/>
    </row>
    <row r="48" spans="1:14" x14ac:dyDescent="0.3">
      <c r="A48" s="66" t="str">
        <f>F3</f>
        <v>Kristin Bennett</v>
      </c>
      <c r="B48" s="66">
        <f>F5</f>
        <v>35</v>
      </c>
      <c r="C48" s="66" t="s">
        <v>434</v>
      </c>
      <c r="D48" s="67"/>
      <c r="E48" s="67"/>
      <c r="F48" s="77" t="str">
        <f>IF(MIN(F49:F49)&gt;0,MIN(F49:F49),"")</f>
        <v/>
      </c>
      <c r="G48" s="66" t="str">
        <f>IF(MAX(G49:G49)&gt;0,MAX(G49:G49),"")</f>
        <v/>
      </c>
      <c r="H48" s="67">
        <f>SUM(H49:H49)</f>
        <v>0</v>
      </c>
      <c r="I48" s="66" t="s">
        <v>430</v>
      </c>
      <c r="J48" s="70" t="str">
        <f>IF(H48=0,"",K48/H48)</f>
        <v/>
      </c>
      <c r="K48" s="71">
        <f>SUM(K49:K49)</f>
        <v>0</v>
      </c>
      <c r="L48" s="71" t="str">
        <f ca="1">IF(ProjectTable[[#This Row],[End Date]]="","",IF(ProjectTable[[#This Row],[Status]]="Complete","Done",MAX(0,ProjectTable[[#This Row],[End Date]]-TODAY())))</f>
        <v/>
      </c>
      <c r="M48" s="71"/>
      <c r="N48" s="65"/>
    </row>
    <row r="49" spans="1:14" x14ac:dyDescent="0.3">
      <c r="A49" s="72"/>
      <c r="B49" s="72"/>
      <c r="C49" s="72"/>
      <c r="D49" s="73" t="s">
        <v>435</v>
      </c>
      <c r="E49" s="73"/>
      <c r="F49" s="78"/>
      <c r="G49" s="72"/>
      <c r="H49" s="73" t="s">
        <v>432</v>
      </c>
      <c r="I49" s="72" t="s">
        <v>418</v>
      </c>
      <c r="J49" s="76">
        <v>1</v>
      </c>
      <c r="K49" s="65" t="s">
        <v>432</v>
      </c>
      <c r="L49" s="71" t="str">
        <f ca="1">IF(ProjectTable[[#This Row],[End Date]]="","",IF(ProjectTable[[#This Row],[Status]]="Complete","Done",MAX(0,ProjectTable[[#This Row],[End Date]]-TODAY())))</f>
        <v/>
      </c>
      <c r="M49" s="71"/>
      <c r="N49" s="65"/>
    </row>
    <row r="50" spans="1:14" x14ac:dyDescent="0.3">
      <c r="A50" s="72"/>
      <c r="B50" s="72"/>
      <c r="C50" s="72"/>
      <c r="D50" s="81" t="s">
        <v>435</v>
      </c>
      <c r="E50" s="81"/>
      <c r="F50" s="82"/>
      <c r="G50" s="83"/>
      <c r="H50" s="81" t="s">
        <v>432</v>
      </c>
      <c r="I50" s="83" t="s">
        <v>418</v>
      </c>
      <c r="J50" s="84">
        <v>1</v>
      </c>
      <c r="K50" s="65" t="s">
        <v>432</v>
      </c>
      <c r="L50" s="71" t="str">
        <f ca="1">IF(ProjectTable[[#This Row],[End Date]]="","",IF(ProjectTable[[#This Row],[Status]]="Complete","Done",MAX(0,ProjectTable[[#This Row],[End Date]]-TODAY())))</f>
        <v/>
      </c>
      <c r="M50" s="85"/>
      <c r="N50" s="85"/>
    </row>
    <row r="51" spans="1:14" x14ac:dyDescent="0.3">
      <c r="A51" s="66" t="str">
        <f>F3</f>
        <v>Kristin Bennett</v>
      </c>
      <c r="B51" s="66">
        <f>F5</f>
        <v>35</v>
      </c>
      <c r="C51" s="79" t="s">
        <v>434</v>
      </c>
      <c r="D51" s="67"/>
      <c r="E51" s="67"/>
      <c r="F51" s="77" t="str">
        <f>IF(MIN(F52:F52)&gt;0,MIN(F52:F52),"")</f>
        <v/>
      </c>
      <c r="G51" s="66" t="str">
        <f>IF(MAX(G52:G52)&gt;0,MAX(G52:G52),"")</f>
        <v/>
      </c>
      <c r="H51" s="67">
        <f>SUM(H52:H52)</f>
        <v>0</v>
      </c>
      <c r="I51" s="79" t="s">
        <v>430</v>
      </c>
      <c r="J51" s="70" t="str">
        <f>IF(H51=0,"",K51/H51)</f>
        <v/>
      </c>
      <c r="K51" s="71">
        <f>SUM(K52:K52)</f>
        <v>0</v>
      </c>
      <c r="L51" s="71" t="str">
        <f ca="1">IF(ProjectTable[[#This Row],[End Date]]="","",IF(ProjectTable[[#This Row],[Status]]="Complete","Done",MAX(0,ProjectTable[[#This Row],[End Date]]-TODAY())))</f>
        <v/>
      </c>
      <c r="M51" s="80" t="s">
        <v>486</v>
      </c>
      <c r="N51" s="71" t="s">
        <v>487</v>
      </c>
    </row>
    <row r="52" spans="1:14" x14ac:dyDescent="0.3">
      <c r="A52" s="72"/>
      <c r="B52" s="72"/>
      <c r="C52" s="72"/>
      <c r="D52" s="81" t="s">
        <v>435</v>
      </c>
      <c r="E52" s="81"/>
      <c r="F52" s="82"/>
      <c r="G52" s="83"/>
      <c r="H52" s="81" t="s">
        <v>432</v>
      </c>
      <c r="I52" s="83" t="s">
        <v>418</v>
      </c>
      <c r="J52" s="84">
        <v>1</v>
      </c>
      <c r="K52" s="65" t="s">
        <v>432</v>
      </c>
      <c r="L52" s="71" t="str">
        <f ca="1">IF(ProjectTable[[#This Row],[End Date]]="","",IF(ProjectTable[[#This Row],[Status]]="Complete","Done",MAX(0,ProjectTable[[#This Row],[End Date]]-TODAY())))</f>
        <v/>
      </c>
      <c r="M52" s="85"/>
      <c r="N52" s="85"/>
    </row>
    <row r="53" spans="1:14" s="41" customFormat="1" x14ac:dyDescent="0.3">
      <c r="A53" s="16"/>
      <c r="B53"/>
      <c r="C53"/>
      <c r="D53" s="34"/>
      <c r="E53" s="34"/>
      <c r="F53"/>
      <c r="G53"/>
      <c r="H53" s="34"/>
      <c r="I53"/>
      <c r="J53"/>
      <c r="K53" s="20"/>
      <c r="L53"/>
      <c r="M53"/>
      <c r="N53"/>
    </row>
    <row r="56" spans="1:14" s="41" customFormat="1" x14ac:dyDescent="0.3">
      <c r="A56" s="16"/>
      <c r="B56"/>
      <c r="C56"/>
      <c r="D56" s="34"/>
      <c r="E56" s="34"/>
      <c r="F56"/>
      <c r="G56"/>
      <c r="H56" s="34"/>
      <c r="I56"/>
      <c r="J56"/>
      <c r="K56" s="20"/>
      <c r="L56"/>
      <c r="M56"/>
    </row>
    <row r="57" spans="1:14" s="41" customFormat="1" x14ac:dyDescent="0.3">
      <c r="A57" s="16"/>
      <c r="B57"/>
      <c r="C57"/>
      <c r="D57" s="34"/>
      <c r="E57" s="34"/>
      <c r="F57"/>
      <c r="G57"/>
      <c r="H57" s="34"/>
      <c r="I57"/>
      <c r="J57"/>
      <c r="K57" s="20"/>
      <c r="L57"/>
      <c r="M57"/>
      <c r="N57"/>
    </row>
    <row r="59" spans="1:14" x14ac:dyDescent="0.3">
      <c r="N59" s="41"/>
    </row>
    <row r="60" spans="1:14" x14ac:dyDescent="0.3">
      <c r="N60" s="41"/>
    </row>
    <row r="66" spans="1:14" s="41" customFormat="1" x14ac:dyDescent="0.3">
      <c r="A66" s="16"/>
      <c r="B66"/>
      <c r="C66"/>
      <c r="D66" s="34"/>
      <c r="E66" s="34"/>
      <c r="F66"/>
      <c r="G66"/>
      <c r="H66" s="34"/>
      <c r="I66"/>
      <c r="J66"/>
      <c r="K66" s="20"/>
      <c r="L66"/>
      <c r="M66"/>
      <c r="N66"/>
    </row>
    <row r="69" spans="1:14" x14ac:dyDescent="0.3">
      <c r="N69" s="41"/>
    </row>
  </sheetData>
  <mergeCells count="2">
    <mergeCell ref="C9:E9"/>
    <mergeCell ref="C3:D3"/>
  </mergeCells>
  <phoneticPr fontId="8" type="noConversion"/>
  <conditionalFormatting sqref="I13:I34">
    <cfRule type="cellIs" dxfId="26" priority="41" operator="equal">
      <formula>"Delay"</formula>
    </cfRule>
    <cfRule type="cellIs" dxfId="25" priority="42" operator="equal">
      <formula>"Future Work"</formula>
    </cfRule>
    <cfRule type="cellIs" dxfId="24" priority="43" operator="equal">
      <formula>"In Progress"</formula>
    </cfRule>
    <cfRule type="cellIs" dxfId="23" priority="44" operator="equal">
      <formula>"Complete"</formula>
    </cfRule>
  </conditionalFormatting>
  <conditionalFormatting sqref="J13:J1004">
    <cfRule type="dataBar" priority="40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{EAC94D0D-ADCF-4ECF-89EF-89FDDF581441}</x14:id>
        </ext>
      </extLst>
    </cfRule>
  </conditionalFormatting>
  <conditionalFormatting sqref="M14:M52">
    <cfRule type="cellIs" dxfId="22" priority="5" operator="equal">
      <formula>"Low"</formula>
    </cfRule>
    <cfRule type="cellIs" dxfId="21" priority="6" operator="equal">
      <formula>"Medium"</formula>
    </cfRule>
    <cfRule type="cellIs" dxfId="20" priority="7" operator="equal">
      <formula>"High"</formula>
    </cfRule>
  </conditionalFormatting>
  <conditionalFormatting sqref="L14:L52">
    <cfRule type="cellIs" dxfId="19" priority="2" operator="greaterThan">
      <formula>14</formula>
    </cfRule>
    <cfRule type="cellIs" dxfId="18" priority="3" operator="between">
      <formula>1</formula>
      <formula>14</formula>
    </cfRule>
    <cfRule type="cellIs" dxfId="17" priority="4" operator="equal">
      <formula>0</formula>
    </cfRule>
  </conditionalFormatting>
  <conditionalFormatting sqref="C14:L52">
    <cfRule type="expression" dxfId="16" priority="1">
      <formula>AND($G2&lt;TODAY(),$I2="In Progress")</formula>
    </cfRule>
  </conditionalFormatting>
  <dataValidations count="4">
    <dataValidation type="list" allowBlank="1" showInputMessage="1" showErrorMessage="1" sqref="I12:I34 I36:I52" xr:uid="{233402CE-F459-43C4-B115-92D0C4D86BC4}">
      <formula1>Status</formula1>
    </dataValidation>
    <dataValidation type="list" allowBlank="1" showInputMessage="1" showErrorMessage="1" sqref="M14:M49" xr:uid="{67DAE692-7A0E-417C-8C3D-C39423BE165C}">
      <formula1>"High, Medium, Low"</formula1>
    </dataValidation>
    <dataValidation type="list" allowBlank="1" showInputMessage="1" showErrorMessage="1" sqref="C14:C52" xr:uid="{2B907904-038B-4A5B-910C-586B63249056}">
      <formula1>ProjectCodes</formula1>
    </dataValidation>
    <dataValidation type="list" allowBlank="1" showInputMessage="1" showErrorMessage="1" sqref="M50:M52" xr:uid="{C3F28F36-1D10-48AB-9652-1C4E107281A4}">
      <formula1>"High,Medium,Low"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ddProjectSection">
                <anchor moveWithCells="1" sizeWithCells="1">
                  <from>
                    <xdr:col>2</xdr:col>
                    <xdr:colOff>175260</xdr:colOff>
                    <xdr:row>3</xdr:row>
                    <xdr:rowOff>38100</xdr:rowOff>
                  </from>
                  <to>
                    <xdr:col>3</xdr:col>
                    <xdr:colOff>1356360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AddTaskRow">
                <anchor moveWithCells="1" sizeWithCells="1">
                  <from>
                    <xdr:col>2</xdr:col>
                    <xdr:colOff>167640</xdr:colOff>
                    <xdr:row>4</xdr:row>
                    <xdr:rowOff>137160</xdr:rowOff>
                  </from>
                  <to>
                    <xdr:col>3</xdr:col>
                    <xdr:colOff>1333500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DeleteSelectedRow">
                <anchor moveWithCells="1" sizeWithCells="1">
                  <from>
                    <xdr:col>2</xdr:col>
                    <xdr:colOff>152400</xdr:colOff>
                    <xdr:row>5</xdr:row>
                    <xdr:rowOff>251460</xdr:rowOff>
                  </from>
                  <to>
                    <xdr:col>3</xdr:col>
                    <xdr:colOff>1325880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Hid">
                <anchor moveWithCells="1" sizeWithCells="1">
                  <from>
                    <xdr:col>6</xdr:col>
                    <xdr:colOff>99060</xdr:colOff>
                    <xdr:row>3</xdr:row>
                    <xdr:rowOff>175260</xdr:rowOff>
                  </from>
                  <to>
                    <xdr:col>7</xdr:col>
                    <xdr:colOff>1188720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Sho">
                <anchor moveWithCells="1" sizeWithCells="1">
                  <from>
                    <xdr:col>6</xdr:col>
                    <xdr:colOff>114300</xdr:colOff>
                    <xdr:row>4</xdr:row>
                    <xdr:rowOff>350520</xdr:rowOff>
                  </from>
                  <to>
                    <xdr:col>7</xdr:col>
                    <xdr:colOff>1196340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Arc">
                <anchor moveWithCells="1" sizeWithCells="1">
                  <from>
                    <xdr:col>7</xdr:col>
                    <xdr:colOff>1447800</xdr:colOff>
                    <xdr:row>3</xdr:row>
                    <xdr:rowOff>182880</xdr:rowOff>
                  </from>
                  <to>
                    <xdr:col>10</xdr:col>
                    <xdr:colOff>30480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Button 21">
              <controlPr defaultSize="0" print="0" autoFill="0" autoPict="0" macro="[0]!RestoreFromArchive">
                <anchor moveWithCells="1" sizeWithCells="1">
                  <from>
                    <xdr:col>7</xdr:col>
                    <xdr:colOff>1455420</xdr:colOff>
                    <xdr:row>4</xdr:row>
                    <xdr:rowOff>335280</xdr:rowOff>
                  </from>
                  <to>
                    <xdr:col>10</xdr:col>
                    <xdr:colOff>38100</xdr:colOff>
                    <xdr:row>5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Button 32">
              <controlPr defaultSize="0" print="0" autoFill="0" autoPict="0" macro="[0]!MarkProjectComplete">
                <anchor moveWithCells="1" sizeWithCells="1">
                  <from>
                    <xdr:col>10</xdr:col>
                    <xdr:colOff>449580</xdr:colOff>
                    <xdr:row>3</xdr:row>
                    <xdr:rowOff>335280</xdr:rowOff>
                  </from>
                  <to>
                    <xdr:col>13</xdr:col>
                    <xdr:colOff>182880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C94D0D-ADCF-4ECF-89EF-89FDDF581441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FF0000"/>
              <x14:negativeFillColor rgb="FFFF0000"/>
              <x14:axisColor rgb="FF000000"/>
            </x14:dataBar>
          </x14:cfRule>
          <xm:sqref>J13:J1004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039E-4A0D-44F6-B9DB-C41D07488843}">
  <sheetPr codeName="Sheet5"/>
  <dimension ref="A1:K2"/>
  <sheetViews>
    <sheetView zoomScale="70" workbookViewId="0">
      <selection activeCell="D10" sqref="D10"/>
    </sheetView>
  </sheetViews>
  <sheetFormatPr defaultRowHeight="14.4" x14ac:dyDescent="0.3"/>
  <sheetData>
    <row r="1" spans="1:11" ht="43.2" x14ac:dyDescent="0.3">
      <c r="A1" s="46" t="s">
        <v>0</v>
      </c>
      <c r="B1" s="47" t="s">
        <v>405</v>
      </c>
      <c r="C1" s="47" t="s">
        <v>406</v>
      </c>
      <c r="D1" s="46" t="s">
        <v>407</v>
      </c>
      <c r="E1" s="46" t="s">
        <v>408</v>
      </c>
      <c r="F1" s="47" t="s">
        <v>409</v>
      </c>
      <c r="G1" s="46" t="s">
        <v>410</v>
      </c>
      <c r="H1" s="46" t="s">
        <v>411</v>
      </c>
      <c r="I1" s="47" t="s">
        <v>412</v>
      </c>
      <c r="J1" s="47" t="s">
        <v>446</v>
      </c>
      <c r="K1" s="47" t="s">
        <v>453</v>
      </c>
    </row>
    <row r="2" spans="1:11" x14ac:dyDescent="0.3">
      <c r="D2" t="s">
        <v>427</v>
      </c>
      <c r="F2">
        <v>46113</v>
      </c>
      <c r="G2">
        <v>46203</v>
      </c>
      <c r="H2">
        <v>40</v>
      </c>
      <c r="I2" t="s">
        <v>418</v>
      </c>
      <c r="J2">
        <v>0</v>
      </c>
      <c r="K2">
        <v>0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AE66-341A-407B-B082-8017BD2C9581}">
  <sheetPr codeName="Sheet4"/>
  <dimension ref="A1:J7"/>
  <sheetViews>
    <sheetView workbookViewId="0">
      <selection activeCell="D15" sqref="D15"/>
    </sheetView>
  </sheetViews>
  <sheetFormatPr defaultRowHeight="14.4" x14ac:dyDescent="0.3"/>
  <cols>
    <col min="1" max="1" width="15.6640625" customWidth="1"/>
    <col min="4" max="4" width="21.44140625" customWidth="1"/>
    <col min="7" max="7" width="11.88671875" customWidth="1"/>
    <col min="8" max="8" width="11.44140625" customWidth="1"/>
    <col min="10" max="10" width="12.109375" customWidth="1"/>
  </cols>
  <sheetData>
    <row r="1" spans="1:10" x14ac:dyDescent="0.3">
      <c r="A1" s="12" t="str">
        <f>ProjectTracker!F3</f>
        <v>Kristin Bennett</v>
      </c>
      <c r="B1" s="12">
        <f>ProjectTracker!F5</f>
        <v>35</v>
      </c>
      <c r="C1" s="12" t="s">
        <v>324</v>
      </c>
      <c r="D1" s="8"/>
      <c r="E1" s="8"/>
      <c r="F1" s="8"/>
      <c r="G1" s="11">
        <f>IF(MIN(G2:G7)&gt;0,MIN(G2:G7),"")</f>
        <v>45909</v>
      </c>
      <c r="H1" s="11">
        <f>IF(MAX(H2:H7)&gt;0, MAX(H2:H7),"")</f>
        <v>45989</v>
      </c>
      <c r="I1" s="32">
        <f>IF(OR(G1="",H1=""),"",NETWORKDAYS(G1,H1))</f>
        <v>59</v>
      </c>
      <c r="J1" s="22" t="s">
        <v>413</v>
      </c>
    </row>
    <row r="2" spans="1:10" x14ac:dyDescent="0.3">
      <c r="A2" s="16"/>
      <c r="B2" s="16"/>
      <c r="C2" s="16"/>
      <c r="D2" t="s">
        <v>436</v>
      </c>
      <c r="E2" t="s">
        <v>437</v>
      </c>
      <c r="G2" s="10">
        <v>45909</v>
      </c>
      <c r="H2" s="10">
        <v>45930</v>
      </c>
      <c r="I2" s="33">
        <f>IF(OR(G2="",H2=""),"",NETWORKDAYS(G2,H2))</f>
        <v>16</v>
      </c>
      <c r="J2" t="s">
        <v>413</v>
      </c>
    </row>
    <row r="3" spans="1:10" x14ac:dyDescent="0.3">
      <c r="A3" s="16"/>
      <c r="B3" s="16"/>
      <c r="C3" s="16"/>
      <c r="D3" t="s">
        <v>438</v>
      </c>
      <c r="E3" t="s">
        <v>437</v>
      </c>
      <c r="G3" s="10">
        <v>45929</v>
      </c>
      <c r="H3" s="10">
        <v>45933</v>
      </c>
      <c r="I3" s="33">
        <f>IF(OR(G3="",H3=""),"",NETWORKDAYS(G3,H3))</f>
        <v>5</v>
      </c>
      <c r="J3" t="s">
        <v>439</v>
      </c>
    </row>
    <row r="4" spans="1:10" x14ac:dyDescent="0.3">
      <c r="A4" s="16"/>
      <c r="B4" s="16"/>
      <c r="C4" s="16"/>
      <c r="D4" t="s">
        <v>440</v>
      </c>
      <c r="E4" t="s">
        <v>441</v>
      </c>
      <c r="G4" s="10">
        <v>45944</v>
      </c>
      <c r="H4" s="10">
        <v>45945</v>
      </c>
      <c r="I4" s="33">
        <f t="shared" ref="I4:I7" si="0">IF(OR(G4="",H4=""),"",NETWORKDAYS(G4,H4))</f>
        <v>2</v>
      </c>
      <c r="J4" t="s">
        <v>439</v>
      </c>
    </row>
    <row r="5" spans="1:10" x14ac:dyDescent="0.3">
      <c r="A5" s="16"/>
      <c r="B5" s="16"/>
      <c r="C5" s="16"/>
      <c r="D5" t="s">
        <v>423</v>
      </c>
      <c r="E5" t="s">
        <v>437</v>
      </c>
      <c r="G5" s="10">
        <v>45936</v>
      </c>
      <c r="H5" s="10">
        <v>45954</v>
      </c>
      <c r="I5" s="33">
        <f t="shared" si="0"/>
        <v>15</v>
      </c>
      <c r="J5" t="s">
        <v>439</v>
      </c>
    </row>
    <row r="6" spans="1:10" x14ac:dyDescent="0.3">
      <c r="A6" s="16"/>
      <c r="B6" s="16"/>
      <c r="C6" s="16"/>
      <c r="D6" t="s">
        <v>442</v>
      </c>
      <c r="E6" t="s">
        <v>437</v>
      </c>
      <c r="G6" s="10">
        <v>45957</v>
      </c>
      <c r="H6" s="10">
        <v>45968</v>
      </c>
      <c r="I6" s="33">
        <f t="shared" si="0"/>
        <v>10</v>
      </c>
      <c r="J6" t="s">
        <v>439</v>
      </c>
    </row>
    <row r="7" spans="1:10" x14ac:dyDescent="0.3">
      <c r="A7" s="16"/>
      <c r="B7" s="16"/>
      <c r="C7" s="16"/>
      <c r="D7" t="s">
        <v>443</v>
      </c>
      <c r="E7" t="s">
        <v>437</v>
      </c>
      <c r="G7" s="10">
        <v>45971</v>
      </c>
      <c r="H7" s="10">
        <v>45989</v>
      </c>
      <c r="I7" s="33">
        <f t="shared" si="0"/>
        <v>15</v>
      </c>
      <c r="J7" t="s">
        <v>439</v>
      </c>
    </row>
  </sheetData>
  <conditionalFormatting sqref="J2:J7">
    <cfRule type="cellIs" dxfId="3" priority="2" operator="equal">
      <formula>"Delay"</formula>
    </cfRule>
    <cfRule type="cellIs" dxfId="2" priority="3" operator="equal">
      <formula>"Future Work"</formula>
    </cfRule>
    <cfRule type="cellIs" dxfId="1" priority="4" operator="equal">
      <formula>"In Progress"</formula>
    </cfRule>
    <cfRule type="cellIs" dxfId="0" priority="5" operator="equal">
      <formula>"Complete"</formula>
    </cfRule>
  </conditionalFormatting>
  <conditionalFormatting sqref="J1">
    <cfRule type="dataBar" priority="1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{9C32D3F6-AF3F-4C2E-BFD9-0D190CD2A708}</x14:id>
        </ext>
      </extLst>
    </cfRule>
  </conditionalFormatting>
  <dataValidations count="4">
    <dataValidation type="list" allowBlank="1" showInputMessage="1" showErrorMessage="1" sqref="A1:B1" xr:uid="{B1AB0EE6-7C6A-4EE0-A870-8E4D80300EB0}">
      <formula1>ProjectCodes</formula1>
    </dataValidation>
    <dataValidation type="list" allowBlank="1" showInputMessage="1" showErrorMessage="1" sqref="J1:J7" xr:uid="{F0D5037C-9791-423A-A1E8-E5A4E977C839}">
      <formula1>Status</formula1>
    </dataValidation>
    <dataValidation type="list" allowBlank="1" showInputMessage="1" showErrorMessage="1" sqref="D2:D7" xr:uid="{931157B4-8D39-4565-83E3-B4C5474FCF4C}">
      <formula1>Tasks</formula1>
    </dataValidation>
    <dataValidation type="list" allowBlank="1" showInputMessage="1" showErrorMessage="1" sqref="E2:E7" xr:uid="{D15D268A-F953-4685-A02C-079DBDC34903}">
      <formula1>Priority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32D3F6-AF3F-4C2E-BFD9-0D190CD2A708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FF0000"/>
              <x14:negativeFillColor rgb="FFFF0000"/>
              <x14:axisColor rgb="FF000000"/>
            </x14:dataBar>
          </x14:cfRule>
          <xm:sqref>J1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AAF411-CB5A-4255-96BC-109AAB8747A2}">
          <x14:formula1>
            <xm:f>ProjectCodes!$A:$A</xm:f>
          </x14:formula1>
          <xm:sqref>C1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B5ADA-9911-49B2-AAB7-238D5C0AC217}">
  <sheetPr codeName="Sheet2"/>
  <dimension ref="A1:D15"/>
  <sheetViews>
    <sheetView workbookViewId="0">
      <selection activeCell="H15" sqref="H15"/>
    </sheetView>
  </sheetViews>
  <sheetFormatPr defaultRowHeight="14.4" x14ac:dyDescent="0.3"/>
  <cols>
    <col min="2" max="2" width="20" customWidth="1"/>
    <col min="3" max="3" width="9.33203125" customWidth="1"/>
    <col min="4" max="4" width="11.44140625" customWidth="1"/>
  </cols>
  <sheetData>
    <row r="1" spans="1:4" x14ac:dyDescent="0.3">
      <c r="A1" t="s">
        <v>444</v>
      </c>
    </row>
    <row r="3" spans="1:4" x14ac:dyDescent="0.3">
      <c r="B3" t="s">
        <v>445</v>
      </c>
      <c r="C3" t="s">
        <v>446</v>
      </c>
      <c r="D3" t="s">
        <v>410</v>
      </c>
    </row>
    <row r="4" spans="1:4" x14ac:dyDescent="0.3">
      <c r="B4" t="s">
        <v>436</v>
      </c>
      <c r="C4" t="s">
        <v>437</v>
      </c>
      <c r="D4" t="s">
        <v>418</v>
      </c>
    </row>
    <row r="5" spans="1:4" x14ac:dyDescent="0.3">
      <c r="B5" t="s">
        <v>438</v>
      </c>
      <c r="C5" t="s">
        <v>441</v>
      </c>
      <c r="D5" t="s">
        <v>413</v>
      </c>
    </row>
    <row r="6" spans="1:4" x14ac:dyDescent="0.3">
      <c r="B6" t="s">
        <v>447</v>
      </c>
      <c r="C6" t="s">
        <v>448</v>
      </c>
      <c r="D6" t="s">
        <v>439</v>
      </c>
    </row>
    <row r="7" spans="1:4" x14ac:dyDescent="0.3">
      <c r="B7" t="s">
        <v>423</v>
      </c>
      <c r="C7" t="s">
        <v>449</v>
      </c>
      <c r="D7" t="s">
        <v>421</v>
      </c>
    </row>
    <row r="8" spans="1:4" x14ac:dyDescent="0.3">
      <c r="B8" t="s">
        <v>450</v>
      </c>
    </row>
    <row r="9" spans="1:4" x14ac:dyDescent="0.3">
      <c r="B9" t="s">
        <v>442</v>
      </c>
    </row>
    <row r="10" spans="1:4" x14ac:dyDescent="0.3">
      <c r="B10" t="s">
        <v>451</v>
      </c>
    </row>
    <row r="11" spans="1:4" x14ac:dyDescent="0.3">
      <c r="B11" t="s">
        <v>425</v>
      </c>
    </row>
    <row r="12" spans="1:4" x14ac:dyDescent="0.3">
      <c r="B12" t="s">
        <v>443</v>
      </c>
    </row>
    <row r="13" spans="1:4" x14ac:dyDescent="0.3">
      <c r="B13" t="s">
        <v>440</v>
      </c>
    </row>
    <row r="14" spans="1:4" x14ac:dyDescent="0.3">
      <c r="B14" t="s">
        <v>449</v>
      </c>
    </row>
    <row r="15" spans="1:4" x14ac:dyDescent="0.3">
      <c r="B15" t="s">
        <v>452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1943b4-0662-41e3-8b0e-3cc51cf78d7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61B6DBD8FDA74F9A72ABD7E3B2B04C" ma:contentTypeVersion="15" ma:contentTypeDescription="Create a new document." ma:contentTypeScope="" ma:versionID="3fa0bf69cb5dfe4ae7e9bc7e8a4c9608">
  <xsd:schema xmlns:xsd="http://www.w3.org/2001/XMLSchema" xmlns:xs="http://www.w3.org/2001/XMLSchema" xmlns:p="http://schemas.microsoft.com/office/2006/metadata/properties" xmlns:ns2="fd1943b4-0662-41e3-8b0e-3cc51cf78d7c" xmlns:ns3="25a4ac75-c49a-435d-a9ca-ab28acccf04f" targetNamespace="http://schemas.microsoft.com/office/2006/metadata/properties" ma:root="true" ma:fieldsID="97e045af301947e0ddfee9bbf3822954" ns2:_="" ns3:_="">
    <xsd:import namespace="fd1943b4-0662-41e3-8b0e-3cc51cf78d7c"/>
    <xsd:import namespace="25a4ac75-c49a-435d-a9ca-ab28acccf0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1943b4-0662-41e3-8b0e-3cc51cf78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073764d-e844-48d8-8cbc-d63b9d95286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a4ac75-c49a-435d-a9ca-ab28acccf0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C9173A-27C6-44C8-A91C-171A3CFA7EBB}">
  <ds:schemaRefs>
    <ds:schemaRef ds:uri="fd1943b4-0662-41e3-8b0e-3cc51cf78d7c"/>
    <ds:schemaRef ds:uri="25a4ac75-c49a-435d-a9ca-ab28acccf04f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3F23B55-92A3-4D88-B6DE-14CBE4A5B2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1943b4-0662-41e3-8b0e-3cc51cf78d7c"/>
    <ds:schemaRef ds:uri="25a4ac75-c49a-435d-a9ca-ab28acccf0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C9EAE4-77E1-4964-83E4-2482BB2C376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1941A16-43BF-4669-92C5-A865432605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ProjectCodes</vt:lpstr>
      <vt:lpstr>Instructions</vt:lpstr>
      <vt:lpstr>ProjectTracker</vt:lpstr>
      <vt:lpstr>Archive</vt:lpstr>
      <vt:lpstr>TemplateBlock</vt:lpstr>
      <vt:lpstr>OtherLists</vt:lpstr>
      <vt:lpstr>Priority</vt:lpstr>
      <vt:lpstr>ProjectCodes</vt:lpstr>
      <vt:lpstr>Status</vt:lpstr>
      <vt:lpstr>Tasks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K. Lytwyn</dc:creator>
  <cp:keywords/>
  <dc:description/>
  <cp:lastModifiedBy>Laiba Yousafzai</cp:lastModifiedBy>
  <cp:revision/>
  <dcterms:created xsi:type="dcterms:W3CDTF">2025-09-19T18:25:16Z</dcterms:created>
  <dcterms:modified xsi:type="dcterms:W3CDTF">2026-05-12T13:20:06Z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0x0101001A61B6DBD8FDA74F9A72ABD7E3B2B04C</vt:lpwstr>
  </property>
  <property fmtid="{D5CDD505-2E9C-101B-9397-08002B2CF9AE}" pid="3" name="MediaServiceImageTags">
    <vt:lpwstr/>
  </property>
</Properties>
</file>